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TPOT\"/>
    </mc:Choice>
  </mc:AlternateContent>
  <xr:revisionPtr revIDLastSave="0" documentId="13_ncr:1_{212797EC-FFD1-416F-BAC6-1A102DAF00CD}" xr6:coauthVersionLast="47" xr6:coauthVersionMax="47" xr10:uidLastSave="{00000000-0000-0000-0000-000000000000}"/>
  <bookViews>
    <workbookView xWindow="-28920" yWindow="-120" windowWidth="29040" windowHeight="15840" activeTab="3" xr2:uid="{75E99073-CB0A-4455-80BE-71337EC2E8B0}"/>
  </bookViews>
  <sheets>
    <sheet name="Ingredients" sheetId="1" r:id="rId1"/>
    <sheet name="Categories" sheetId="2" r:id="rId2"/>
    <sheet name="Actions" sheetId="4" r:id="rId3"/>
    <sheet name="Recipes" sheetId="3" r:id="rId4"/>
  </sheets>
  <definedNames>
    <definedName name="_xlnm._FilterDatabase" localSheetId="1" hidden="1">Categories!$A$5:$R$24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" i="2" l="1"/>
  <c r="U31" i="2" s="1"/>
  <c r="T34" i="1"/>
  <c r="T35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4" i="1"/>
  <c r="U29" i="2"/>
  <c r="U26" i="2"/>
</calcChain>
</file>

<file path=xl/sharedStrings.xml><?xml version="1.0" encoding="utf-8"?>
<sst xmlns="http://schemas.openxmlformats.org/spreadsheetml/2006/main" count="285" uniqueCount="203">
  <si>
    <t>White Sage</t>
  </si>
  <si>
    <t>Clear Quartz</t>
  </si>
  <si>
    <t>Amethyst</t>
  </si>
  <si>
    <t>Black Tourmaline</t>
  </si>
  <si>
    <t>Lavender</t>
  </si>
  <si>
    <t>Rosemary</t>
  </si>
  <si>
    <t>Yew Tree Branch</t>
  </si>
  <si>
    <t>Coffin Nails</t>
  </si>
  <si>
    <t>Mercury</t>
  </si>
  <si>
    <t>Solomons Seal</t>
  </si>
  <si>
    <t>Four Leaf Clover</t>
  </si>
  <si>
    <t>Frankincense</t>
  </si>
  <si>
    <t>Used to enhance intuition, calm turbulent thoughts, and protect the mind during astral projection.</t>
  </si>
  <si>
    <t>A rare find, universally known as a sign of great luck.</t>
  </si>
  <si>
    <t>Occult Rituals</t>
  </si>
  <si>
    <t>Sacred Herbs &amp; Botanicals</t>
  </si>
  <si>
    <t>Purification &amp; Blessing</t>
  </si>
  <si>
    <t>Mythical Beasts</t>
  </si>
  <si>
    <t>Death &amp; the Beyond</t>
  </si>
  <si>
    <t>Celestial &amp; Dream Magic</t>
  </si>
  <si>
    <t>Body &amp; Transformation</t>
  </si>
  <si>
    <t>Crystals &amp; Earthbound Magic</t>
  </si>
  <si>
    <t>Witch’s Pantry</t>
  </si>
  <si>
    <t>Eye of Newt</t>
  </si>
  <si>
    <t>Bat Wing</t>
  </si>
  <si>
    <t>Bone Dust</t>
  </si>
  <si>
    <t>Hair of a Virgin</t>
  </si>
  <si>
    <t>Ghoul Tongue</t>
  </si>
  <si>
    <t>Graveyard Dirt</t>
  </si>
  <si>
    <t>Necrotic Ash</t>
  </si>
  <si>
    <t>Ashes of a Burnt Letter</t>
  </si>
  <si>
    <t>Mandrake Root</t>
  </si>
  <si>
    <t>Wolfsbane</t>
  </si>
  <si>
    <t>Nightshade</t>
  </si>
  <si>
    <t>Whispering Bark</t>
  </si>
  <si>
    <t>Elven Dew</t>
  </si>
  <si>
    <t>Moonstone Powder</t>
  </si>
  <si>
    <t>Snowdrop Petal</t>
  </si>
  <si>
    <t>Basilisk Fang</t>
  </si>
  <si>
    <t>Dragon Scale</t>
  </si>
  <si>
    <t>Phoenix Feather</t>
  </si>
  <si>
    <t>Unicorn Hair</t>
  </si>
  <si>
    <t>Mermaid Scale</t>
  </si>
  <si>
    <t>Manticore Venom</t>
  </si>
  <si>
    <t>Goblin Earwax</t>
  </si>
  <si>
    <t>Salamander Tail</t>
  </si>
  <si>
    <t>Dried Kraken Ink</t>
  </si>
  <si>
    <t>Raven Feather</t>
  </si>
  <si>
    <t>Starflower (could be added)</t>
  </si>
  <si>
    <t>Memory Thread</t>
  </si>
  <si>
    <t>Lightning Bug Glow</t>
  </si>
  <si>
    <t>Ghost Pepper Essence</t>
  </si>
  <si>
    <t>Spider Silk</t>
  </si>
  <si>
    <t>Obsidian Shard</t>
  </si>
  <si>
    <t>Crushed Pearl</t>
  </si>
  <si>
    <t>Pumpkin Guts</t>
  </si>
  <si>
    <t>Fairy Dust</t>
  </si>
  <si>
    <t>Wild Card</t>
  </si>
  <si>
    <t>ingredientes</t>
  </si>
  <si>
    <t>Wildcard</t>
  </si>
  <si>
    <t>Action cards</t>
  </si>
  <si>
    <t>Potions Recipes</t>
  </si>
  <si>
    <t>109 cards</t>
  </si>
  <si>
    <t>Check Categories Ingredients</t>
  </si>
  <si>
    <t>8 actions 2 cards</t>
  </si>
  <si>
    <t>Card Name</t>
  </si>
  <si>
    <t>Type</t>
  </si>
  <si>
    <t>Chaotic Bonus</t>
  </si>
  <si>
    <t>Effect Summary</t>
  </si>
  <si>
    <r>
      <t xml:space="preserve">🕯 </t>
    </r>
    <r>
      <rPr>
        <b/>
        <sz val="11"/>
        <color theme="1"/>
        <rFont val="Aptos Narrow"/>
        <family val="2"/>
        <scheme val="minor"/>
      </rPr>
      <t>Circle Breaker</t>
    </r>
  </si>
  <si>
    <t>Skip the next player's turn</t>
  </si>
  <si>
    <t>Target Disruption</t>
  </si>
  <si>
    <r>
      <t xml:space="preserve">🔁 </t>
    </r>
    <r>
      <rPr>
        <b/>
        <sz val="11"/>
        <color theme="1"/>
        <rFont val="Aptos Narrow"/>
        <family val="2"/>
        <scheme val="minor"/>
      </rPr>
      <t>Twist of Fate</t>
    </r>
  </si>
  <si>
    <t>Reverse direction of play</t>
  </si>
  <si>
    <t>Global Tempo</t>
  </si>
  <si>
    <r>
      <t xml:space="preserve">🐍 </t>
    </r>
    <r>
      <rPr>
        <b/>
        <sz val="11"/>
        <color theme="1"/>
        <rFont val="Aptos Narrow"/>
        <family val="2"/>
        <scheme val="minor"/>
      </rPr>
      <t>Venom Brew</t>
    </r>
  </si>
  <si>
    <t>Target player discards 1 random card</t>
  </si>
  <si>
    <t>Target Attack</t>
  </si>
  <si>
    <r>
      <t xml:space="preserve">🔮 </t>
    </r>
    <r>
      <rPr>
        <b/>
        <sz val="11"/>
        <color theme="1"/>
        <rFont val="Aptos Narrow"/>
        <family val="2"/>
        <scheme val="minor"/>
      </rPr>
      <t>Astral Projection</t>
    </r>
  </si>
  <si>
    <t>Peek top 3 cards of draw pile, keep 1, reorder rest</t>
  </si>
  <si>
    <t>Strategic Draw</t>
  </si>
  <si>
    <r>
      <t xml:space="preserve">🧃 </t>
    </r>
    <r>
      <rPr>
        <b/>
        <sz val="11"/>
        <color theme="1"/>
        <rFont val="Aptos Narrow"/>
        <family val="2"/>
        <scheme val="minor"/>
      </rPr>
      <t>Foul Elixir</t>
    </r>
  </si>
  <si>
    <t>Drawer discards 2 random cards</t>
  </si>
  <si>
    <t>Self Penalty</t>
  </si>
  <si>
    <r>
      <t xml:space="preserve">🪄 </t>
    </r>
    <r>
      <rPr>
        <b/>
        <sz val="11"/>
        <color theme="1"/>
        <rFont val="Aptos Narrow"/>
        <family val="2"/>
        <scheme val="minor"/>
      </rPr>
      <t>Crackling Cauldron</t>
    </r>
  </si>
  <si>
    <t>Draw 2 extra cards, then discard 2 (after melds)</t>
  </si>
  <si>
    <r>
      <t xml:space="preserve">🕸 </t>
    </r>
    <r>
      <rPr>
        <b/>
        <sz val="11"/>
        <color theme="1"/>
        <rFont val="Aptos Narrow"/>
        <family val="2"/>
        <scheme val="minor"/>
      </rPr>
      <t>Hex Seal</t>
    </r>
  </si>
  <si>
    <t>Block a category of your choice for all players for 1 round</t>
  </si>
  <si>
    <t>Global Disruption</t>
  </si>
  <si>
    <t>Thiefs Gamble</t>
  </si>
  <si>
    <t>pick a card from opponents hand to keep, discard 1 of our choosing</t>
  </si>
  <si>
    <t>17 Actions</t>
  </si>
  <si>
    <t xml:space="preserve">Eye of Newt </t>
  </si>
  <si>
    <t xml:space="preserve">Fairy Dust </t>
  </si>
  <si>
    <t xml:space="preserve">Bat Wing </t>
  </si>
  <si>
    <t xml:space="preserve">Ghost Pepper Essence </t>
  </si>
  <si>
    <t>Iron spikes reclaimed from old graves. Seal endings, bind spirits.</t>
  </si>
  <si>
    <t>Starflower</t>
  </si>
  <si>
    <t>Channel innocence; amplifies purity in transformation spells.</t>
  </si>
  <si>
    <t>Erase the past; release secrets or forgotten promises.</t>
  </si>
  <si>
    <t>Deadly charm; poisons or induces dreamlike trances.</t>
  </si>
  <si>
    <t>Sacred smoke used in purification rituals. Symbol of death and rebirth.</t>
  </si>
  <si>
    <t>Holds forest voices; used to commune with nature’s will.</t>
  </si>
  <si>
    <t>Purifies spaces; banishes dark energy and spirits.</t>
  </si>
  <si>
    <t>Sacred incense that opens gateways to divine insight</t>
  </si>
  <si>
    <t>Heals wounds; embodies truth and untamed grace.</t>
  </si>
  <si>
    <t>Inflicts pain and fear; fuel for dark enchantments.</t>
  </si>
  <si>
    <t>Draws death’s essence; anchors binding or curse magic.</t>
  </si>
  <si>
    <t>Mimics voices; commands the restless dead.</t>
  </si>
  <si>
    <t>Omen of fate; carries messages between worlds.</t>
  </si>
  <si>
    <t>Enhances intuition; stabilizes lunar-based spells.</t>
  </si>
  <si>
    <t>Radiates calm; focuses celestial energy for clarity.</t>
  </si>
  <si>
    <t>Stores spark energy; used to ignite volatile mixtures.</t>
  </si>
  <si>
    <t>Weaves protection; binds magic in intricate wards.</t>
  </si>
  <si>
    <t>Calls tides; aids charm or illusion spells.</t>
  </si>
  <si>
    <t>Classic catalyst; boosts reaction potency in brews.</t>
  </si>
  <si>
    <t>Amplifies energy; cleanses negative vibrations.</t>
  </si>
  <si>
    <t>Restores vitality; used in beauty and renewal charms.</t>
  </si>
  <si>
    <t>Symbol of harvest; grounds chaotic energies.</t>
  </si>
  <si>
    <t>Adds fiery will; ignites raw passion or fury.</t>
  </si>
  <si>
    <t>Grants perception in darkness; aids stealth spells.</t>
  </si>
  <si>
    <t>Enhances levitation and whimsy; defies mundane laws.</t>
  </si>
  <si>
    <t>Powerful venom that petrifies foes; essence of deadly precision.</t>
  </si>
  <si>
    <t>Liquid metal of change; bridges realms, speeds transformation magic.</t>
  </si>
  <si>
    <t>Root of wisdom; seals pacts, strengthens truth and healing charms.</t>
  </si>
  <si>
    <t>Maleficia</t>
  </si>
  <si>
    <t>Severance Draught</t>
  </si>
  <si>
    <t>Coffin Nails, Whispering Bark, Ghost Pepper Essence</t>
  </si>
  <si>
    <t>Severs emotional bonds or lingering attachments. Best used in rituals of release.</t>
  </si>
  <si>
    <t>A smoky black potion in a cracked glass vial, glowing embers inside, bark tendrils wrapping it.</t>
  </si>
  <si>
    <t>Silence of the Grave</t>
  </si>
  <si>
    <t>Mutes a subject's voice or spiritual presence temporarily.</t>
  </si>
  <si>
    <t>A bottle wrapped in grave cloth, whispering vapor escaping from a sealed cork.</t>
  </si>
  <si>
    <t>Witch’s Chain</t>
  </si>
  <si>
    <t>A web-covered black bottle with hanging ash flakes, bat silhouettes encircling.</t>
  </si>
  <si>
    <t>Freezes a target in indecision or binds movement through mental fog.</t>
  </si>
  <si>
    <t>Maledicta Vitae</t>
  </si>
  <si>
    <t>Basilisk Fang, Starflower, Whispering Bark</t>
  </si>
  <si>
    <t>Weakens vitality, saps inner strength over time.</t>
  </si>
  <si>
    <t>Hex of Hollow Flame</t>
  </si>
  <si>
    <t>A vial of green ichor with a single petal floating and thorny roots circling the base.</t>
  </si>
  <si>
    <t>Raven Feather, Manticore Venom, Pumpkin Guts</t>
  </si>
  <si>
    <t>A dark orange potion with glowing flecks, sealed with a scorched feather.</t>
  </si>
  <si>
    <t>Causes illusions of haunting and phantasmal fire.</t>
  </si>
  <si>
    <t>Bind of the Forgotten</t>
  </si>
  <si>
    <t>A gray dust-filled bottle wrapped in decaying leaves and splinters.</t>
  </si>
  <si>
    <t>Forces forgetfulness or makes the caster forgotten by others temporarily.</t>
  </si>
  <si>
    <t>Lover’s Whisper</t>
  </si>
  <si>
    <t>Heals emotional wounds; brings new affection.</t>
  </si>
  <si>
    <t>Pale pink swirl in a heart-shaped vial.</t>
  </si>
  <si>
    <t>Petal Ward Elixir</t>
  </si>
  <si>
    <t>Four Leaf Clover, Starflower, Spider Silk</t>
  </si>
  <si>
    <t>Grants protection against misfortune and hexes.</t>
  </si>
  <si>
    <t>Golden liquid surrounded by tiny petals.</t>
  </si>
  <si>
    <t>Heartfire Infusion</t>
  </si>
  <si>
    <t>Ghost Pepper Essence, Unicorn Hair, Crushed Pearl</t>
  </si>
  <si>
    <t>Restores confidence and inner strength.</t>
  </si>
  <si>
    <t>Bright orange and shimmering like embers.</t>
  </si>
  <si>
    <t>Mirror Dew</t>
  </si>
  <si>
    <t>Clear Quartz, Moonstone Powder, Fairy Dust</t>
  </si>
  <si>
    <t>Reflects illusions and deception, reveals truth.</t>
  </si>
  <si>
    <t>Clear potion reflecting its environment.</t>
  </si>
  <si>
    <t>Wispwine</t>
  </si>
  <si>
    <t>Frankincense, Lightning Bug Glow, Raven Feather</t>
  </si>
  <si>
    <t>Enhances clarity during spirit communication.</t>
  </si>
  <si>
    <t>Bottled starlight with floating wisps.</t>
  </si>
  <si>
    <t>Basilisk Balm</t>
  </si>
  <si>
    <t>Grants resistance to harmful charm effects.</t>
  </si>
  <si>
    <t>Pearlescent balm sealed with a sigil.</t>
  </si>
  <si>
    <t>Dreambinder Elixir</t>
  </si>
  <si>
    <t>Stabilizes lucid dreams, binds nightmares into charms.</t>
  </si>
  <si>
    <t>Glowing bottle under starlight with silk webbing.</t>
  </si>
  <si>
    <t>Twist of Fate</t>
  </si>
  <si>
    <t>Amethyst, Hair of a Virgin, Eye of Newt</t>
  </si>
  <si>
    <t>Disrupts destiny’s flow, alters chosen outcomes.</t>
  </si>
  <si>
    <t>Swirling violet potion with sparks.</t>
  </si>
  <si>
    <t>Illusion’s Glee</t>
  </si>
  <si>
    <t>Mermaid Scale, Fairy Dust, Lightning Bug Glow</t>
  </si>
  <si>
    <t>Enables brief transformation and deceptive appearance.</t>
  </si>
  <si>
    <t>Shimmering blue and gold with bubbles.</t>
  </si>
  <si>
    <t>Oracle’s Dew</t>
  </si>
  <si>
    <t>Clear Quartz, Mermaid Scale, Amethyst</t>
  </si>
  <si>
    <t>Allows short glimpses into uncertain futures.</t>
  </si>
  <si>
    <t>Foggy liquid with a gem at the bottom.</t>
  </si>
  <si>
    <t>Serpent’s Luck</t>
  </si>
  <si>
    <t>Yew Tree Branch, Four Leaf Clover, Manticore Venom</t>
  </si>
  <si>
    <t>Twists fortune toward the caster at a hidden cost.</t>
  </si>
  <si>
    <t>Dark green with coiled serpent insignia.</t>
  </si>
  <si>
    <t>Veilpiercer Tonic</t>
  </si>
  <si>
    <t>Pierces magical disguises and illusions.</t>
  </si>
  <si>
    <t>Soot-colored potion with a glowing light.</t>
  </si>
  <si>
    <t>Fortuna</t>
  </si>
  <si>
    <t>Benedicta</t>
  </si>
  <si>
    <t>Ghoul Tongue, Coffin Nails, Nightshade</t>
  </si>
  <si>
    <t>Hair of a Virgin, Unicorn Hair, White Sage</t>
  </si>
  <si>
    <t>Ashes of a Burnt Letter, Frankincense, Eye of Newt</t>
  </si>
  <si>
    <t>Graveyard Dirt, Nightshade, Yew Tree Branch</t>
  </si>
  <si>
    <t>Moonstone Powder, Spider Silk, White Sage</t>
  </si>
  <si>
    <t>Basilisk Fang, Crushed Pearl, Pumpkin Guts</t>
  </si>
  <si>
    <t>Graveyard Dirt, Ashes of a Burnt Letter, Bat Wing</t>
  </si>
  <si>
    <t>6 potions 3 categories</t>
  </si>
  <si>
    <t>18 Potions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</si>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</sst>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0" fillId="2" borderId="0" xfId="0" applyFill="1"/>
    <xf numFmtId="0" fontId="0" fillId="4" borderId="0" xfId="0" applyFill="1"/>
    <xf numFmtId="0" fontId="0" fillId="0" borderId="0" xfId="0" applyFill="1"/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5FC9-A773-46D7-B35A-91E32F63FAEB}">
  <dimension ref="A2:T35"/>
  <sheetViews>
    <sheetView zoomScaleNormal="100" workbookViewId="0">
      <selection activeCell="B4" sqref="B4:B31"/>
    </sheetView>
  </sheetViews>
  <sheetFormatPr defaultRowHeight="15" x14ac:dyDescent="0.25"/>
  <cols>
    <col min="2" max="2" width="20.42578125" customWidth="1"/>
    <col min="10" max="10" width="0" hidden="1" customWidth="1"/>
    <col min="11" max="11" width="21.42578125" hidden="1" customWidth="1"/>
    <col min="12" max="17" width="0" hidden="1" customWidth="1"/>
    <col min="19" max="19" width="12.5703125" customWidth="1"/>
    <col min="20" max="20" width="5" customWidth="1"/>
    <col min="23" max="23" width="17" customWidth="1"/>
  </cols>
  <sheetData>
    <row r="2" spans="1:20" x14ac:dyDescent="0.25">
      <c r="B2" s="9" t="s">
        <v>63</v>
      </c>
      <c r="C2" s="9"/>
      <c r="D2" s="9"/>
    </row>
    <row r="4" spans="1:20" x14ac:dyDescent="0.25">
      <c r="A4" s="2" t="b">
        <v>1</v>
      </c>
      <c r="B4" s="7" t="s">
        <v>7</v>
      </c>
      <c r="C4" t="s">
        <v>96</v>
      </c>
      <c r="T4" s="3">
        <f>LEN(C4)</f>
        <v>66</v>
      </c>
    </row>
    <row r="5" spans="1:20" x14ac:dyDescent="0.25">
      <c r="A5" s="2" t="b">
        <v>1</v>
      </c>
      <c r="B5" s="7" t="s">
        <v>26</v>
      </c>
      <c r="C5" t="s">
        <v>98</v>
      </c>
      <c r="T5" s="3">
        <f t="shared" ref="T5:T35" si="0">LEN(C5)</f>
        <v>61</v>
      </c>
    </row>
    <row r="6" spans="1:20" x14ac:dyDescent="0.25">
      <c r="A6" s="2" t="b">
        <v>1</v>
      </c>
      <c r="B6" s="7" t="s">
        <v>30</v>
      </c>
      <c r="C6" t="s">
        <v>99</v>
      </c>
      <c r="T6" s="3">
        <f t="shared" si="0"/>
        <v>54</v>
      </c>
    </row>
    <row r="7" spans="1:20" x14ac:dyDescent="0.25">
      <c r="A7" s="2" t="b">
        <v>1</v>
      </c>
      <c r="B7" s="7" t="s">
        <v>33</v>
      </c>
      <c r="C7" t="s">
        <v>100</v>
      </c>
      <c r="T7" s="3">
        <f t="shared" si="0"/>
        <v>51</v>
      </c>
    </row>
    <row r="8" spans="1:20" x14ac:dyDescent="0.25">
      <c r="A8" s="2" t="b">
        <v>1</v>
      </c>
      <c r="B8" s="7" t="s">
        <v>6</v>
      </c>
      <c r="C8" t="s">
        <v>101</v>
      </c>
      <c r="T8" s="3">
        <f t="shared" si="0"/>
        <v>71</v>
      </c>
    </row>
    <row r="9" spans="1:20" x14ac:dyDescent="0.25">
      <c r="A9" s="2" t="b">
        <v>1</v>
      </c>
      <c r="B9" s="7" t="s">
        <v>34</v>
      </c>
      <c r="C9" t="s">
        <v>102</v>
      </c>
      <c r="T9" s="3">
        <f t="shared" si="0"/>
        <v>56</v>
      </c>
    </row>
    <row r="10" spans="1:20" x14ac:dyDescent="0.25">
      <c r="A10" s="2" t="b">
        <v>1</v>
      </c>
      <c r="B10" s="7" t="s">
        <v>0</v>
      </c>
      <c r="C10" t="s">
        <v>103</v>
      </c>
      <c r="T10" s="3">
        <f t="shared" si="0"/>
        <v>50</v>
      </c>
    </row>
    <row r="11" spans="1:20" x14ac:dyDescent="0.25">
      <c r="A11" s="2" t="b">
        <v>1</v>
      </c>
      <c r="B11" s="7" t="s">
        <v>10</v>
      </c>
      <c r="C11" t="s">
        <v>13</v>
      </c>
      <c r="T11" s="3">
        <f t="shared" si="0"/>
        <v>55</v>
      </c>
    </row>
    <row r="12" spans="1:20" x14ac:dyDescent="0.25">
      <c r="A12" s="2" t="b">
        <v>1</v>
      </c>
      <c r="B12" s="7" t="s">
        <v>11</v>
      </c>
      <c r="C12" t="s">
        <v>104</v>
      </c>
      <c r="T12" s="3">
        <f t="shared" si="0"/>
        <v>52</v>
      </c>
    </row>
    <row r="13" spans="1:20" x14ac:dyDescent="0.25">
      <c r="A13" s="2" t="b">
        <v>0</v>
      </c>
      <c r="B13" s="7" t="s">
        <v>38</v>
      </c>
      <c r="C13" t="s">
        <v>122</v>
      </c>
      <c r="T13" s="3">
        <f t="shared" si="0"/>
        <v>64</v>
      </c>
    </row>
    <row r="14" spans="1:20" x14ac:dyDescent="0.25">
      <c r="A14" s="2" t="b">
        <v>1</v>
      </c>
      <c r="B14" s="7" t="s">
        <v>41</v>
      </c>
      <c r="C14" t="s">
        <v>105</v>
      </c>
      <c r="T14" s="3">
        <f t="shared" si="0"/>
        <v>47</v>
      </c>
    </row>
    <row r="15" spans="1:20" x14ac:dyDescent="0.25">
      <c r="A15" s="2" t="b">
        <v>1</v>
      </c>
      <c r="B15" s="7" t="s">
        <v>43</v>
      </c>
      <c r="C15" t="s">
        <v>106</v>
      </c>
      <c r="T15" s="3">
        <f t="shared" si="0"/>
        <v>51</v>
      </c>
    </row>
    <row r="16" spans="1:20" x14ac:dyDescent="0.25">
      <c r="A16" s="2" t="b">
        <v>1</v>
      </c>
      <c r="B16" s="7" t="s">
        <v>28</v>
      </c>
      <c r="C16" t="s">
        <v>107</v>
      </c>
      <c r="T16" s="3">
        <f t="shared" si="0"/>
        <v>54</v>
      </c>
    </row>
    <row r="17" spans="1:20" x14ac:dyDescent="0.25">
      <c r="A17" s="2" t="b">
        <v>1</v>
      </c>
      <c r="B17" s="7" t="s">
        <v>27</v>
      </c>
      <c r="C17" t="s">
        <v>108</v>
      </c>
      <c r="T17" s="3">
        <f t="shared" si="0"/>
        <v>42</v>
      </c>
    </row>
    <row r="18" spans="1:20" x14ac:dyDescent="0.25">
      <c r="A18" s="2" t="b">
        <v>1</v>
      </c>
      <c r="B18" s="7" t="s">
        <v>47</v>
      </c>
      <c r="C18" t="s">
        <v>109</v>
      </c>
      <c r="T18" s="3">
        <f t="shared" si="0"/>
        <v>46</v>
      </c>
    </row>
    <row r="19" spans="1:20" x14ac:dyDescent="0.25">
      <c r="A19" s="2" t="b">
        <v>1</v>
      </c>
      <c r="B19" s="7" t="s">
        <v>36</v>
      </c>
      <c r="C19" t="s">
        <v>110</v>
      </c>
      <c r="T19" s="3">
        <f t="shared" si="0"/>
        <v>50</v>
      </c>
    </row>
    <row r="20" spans="1:20" x14ac:dyDescent="0.25">
      <c r="A20" s="2" t="b">
        <v>1</v>
      </c>
      <c r="B20" s="7" t="s">
        <v>97</v>
      </c>
      <c r="C20" t="s">
        <v>111</v>
      </c>
      <c r="T20" s="3">
        <f t="shared" si="0"/>
        <v>52</v>
      </c>
    </row>
    <row r="21" spans="1:20" x14ac:dyDescent="0.25">
      <c r="A21" s="2" t="b">
        <v>1</v>
      </c>
      <c r="B21" s="7" t="s">
        <v>50</v>
      </c>
      <c r="C21" t="s">
        <v>112</v>
      </c>
      <c r="T21" s="3">
        <f t="shared" si="0"/>
        <v>54</v>
      </c>
    </row>
    <row r="22" spans="1:20" x14ac:dyDescent="0.25">
      <c r="A22" s="2" t="b">
        <v>1</v>
      </c>
      <c r="B22" s="7" t="s">
        <v>52</v>
      </c>
      <c r="C22" t="s">
        <v>113</v>
      </c>
      <c r="T22" s="3">
        <f t="shared" si="0"/>
        <v>50</v>
      </c>
    </row>
    <row r="23" spans="1:20" x14ac:dyDescent="0.25">
      <c r="A23" s="2" t="b">
        <v>1</v>
      </c>
      <c r="B23" s="7" t="s">
        <v>42</v>
      </c>
      <c r="C23" t="s">
        <v>114</v>
      </c>
      <c r="T23" s="3">
        <f t="shared" si="0"/>
        <v>43</v>
      </c>
    </row>
    <row r="24" spans="1:20" x14ac:dyDescent="0.25">
      <c r="A24" s="2" t="b">
        <v>1</v>
      </c>
      <c r="B24" t="s">
        <v>92</v>
      </c>
      <c r="C24" t="s">
        <v>115</v>
      </c>
      <c r="T24" s="3">
        <f t="shared" si="0"/>
        <v>51</v>
      </c>
    </row>
    <row r="25" spans="1:20" x14ac:dyDescent="0.25">
      <c r="A25" s="2" t="b">
        <v>1</v>
      </c>
      <c r="B25" s="7" t="s">
        <v>1</v>
      </c>
      <c r="C25" t="s">
        <v>116</v>
      </c>
      <c r="T25" s="3">
        <f t="shared" si="0"/>
        <v>47</v>
      </c>
    </row>
    <row r="26" spans="1:20" x14ac:dyDescent="0.25">
      <c r="A26" s="2" t="b">
        <v>1</v>
      </c>
      <c r="B26" s="7" t="s">
        <v>2</v>
      </c>
      <c r="C26" t="s">
        <v>12</v>
      </c>
      <c r="T26" s="3">
        <f t="shared" si="0"/>
        <v>98</v>
      </c>
    </row>
    <row r="27" spans="1:20" x14ac:dyDescent="0.25">
      <c r="A27" s="2" t="b">
        <v>1</v>
      </c>
      <c r="B27" s="7" t="s">
        <v>54</v>
      </c>
      <c r="C27" t="s">
        <v>117</v>
      </c>
      <c r="T27" s="3">
        <f t="shared" si="0"/>
        <v>53</v>
      </c>
    </row>
    <row r="28" spans="1:20" x14ac:dyDescent="0.25">
      <c r="A28" s="2" t="b">
        <v>1</v>
      </c>
      <c r="B28" s="7" t="s">
        <v>55</v>
      </c>
      <c r="C28" t="s">
        <v>118</v>
      </c>
      <c r="T28" s="3">
        <f t="shared" si="0"/>
        <v>44</v>
      </c>
    </row>
    <row r="29" spans="1:20" x14ac:dyDescent="0.25">
      <c r="A29" s="2" t="b">
        <v>1</v>
      </c>
      <c r="B29" t="s">
        <v>95</v>
      </c>
      <c r="C29" t="s">
        <v>119</v>
      </c>
      <c r="T29" s="3">
        <f t="shared" si="0"/>
        <v>45</v>
      </c>
    </row>
    <row r="30" spans="1:20" x14ac:dyDescent="0.25">
      <c r="A30" s="2" t="b">
        <v>1</v>
      </c>
      <c r="B30" t="s">
        <v>94</v>
      </c>
      <c r="C30" t="s">
        <v>120</v>
      </c>
      <c r="T30" s="3">
        <f t="shared" si="0"/>
        <v>51</v>
      </c>
    </row>
    <row r="31" spans="1:20" x14ac:dyDescent="0.25">
      <c r="A31" s="2" t="b">
        <v>1</v>
      </c>
      <c r="B31" t="s">
        <v>93</v>
      </c>
      <c r="C31" t="s">
        <v>121</v>
      </c>
      <c r="T31" s="3">
        <f t="shared" si="0"/>
        <v>52</v>
      </c>
    </row>
    <row r="32" spans="1:20" x14ac:dyDescent="0.25">
      <c r="T32" s="3"/>
    </row>
    <row r="33" spans="1:20" x14ac:dyDescent="0.25">
      <c r="T33" s="3"/>
    </row>
    <row r="34" spans="1:20" x14ac:dyDescent="0.25">
      <c r="A34" s="2" t="b">
        <v>1</v>
      </c>
      <c r="B34" t="s">
        <v>8</v>
      </c>
      <c r="C34" t="s">
        <v>123</v>
      </c>
      <c r="T34" s="3">
        <f t="shared" si="0"/>
        <v>68</v>
      </c>
    </row>
    <row r="35" spans="1:20" x14ac:dyDescent="0.25">
      <c r="A35" s="2" t="b">
        <v>1</v>
      </c>
      <c r="B35" t="s">
        <v>9</v>
      </c>
      <c r="C35" t="s">
        <v>124</v>
      </c>
      <c r="T35" s="3">
        <f t="shared" si="0"/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E554-C2FB-4F41-B6E2-ABFB311090D0}">
  <sheetPr filterMode="1"/>
  <dimension ref="A2:U54"/>
  <sheetViews>
    <sheetView zoomScaleNormal="100" workbookViewId="0">
      <selection activeCell="U29" sqref="U29"/>
    </sheetView>
  </sheetViews>
  <sheetFormatPr defaultRowHeight="15" x14ac:dyDescent="0.25"/>
  <cols>
    <col min="1" max="1" width="4.85546875" customWidth="1"/>
    <col min="2" max="2" width="20.5703125" bestFit="1" customWidth="1"/>
    <col min="3" max="3" width="6.85546875" customWidth="1"/>
    <col min="4" max="4" width="15.5703125" bestFit="1" customWidth="1"/>
    <col min="5" max="5" width="5.28515625" customWidth="1"/>
    <col min="6" max="6" width="18.140625" bestFit="1" customWidth="1"/>
    <col min="7" max="7" width="5.85546875" customWidth="1"/>
    <col min="8" max="8" width="16.5703125" bestFit="1" customWidth="1"/>
    <col min="9" max="9" width="5.140625" customWidth="1"/>
    <col min="10" max="10" width="20.5703125" bestFit="1" customWidth="1"/>
    <col min="11" max="11" width="5.85546875" customWidth="1"/>
    <col min="12" max="12" width="25.85546875" bestFit="1" customWidth="1"/>
    <col min="13" max="13" width="4.42578125" customWidth="1"/>
    <col min="14" max="14" width="20.5703125" bestFit="1" customWidth="1"/>
    <col min="15" max="15" width="4.28515625" customWidth="1"/>
    <col min="16" max="16" width="18.140625" bestFit="1" customWidth="1"/>
    <col min="17" max="17" width="4.5703125" customWidth="1"/>
    <col min="18" max="18" width="20.5703125" bestFit="1" customWidth="1"/>
  </cols>
  <sheetData>
    <row r="2" spans="1:19" x14ac:dyDescent="0.25">
      <c r="B2" t="s">
        <v>62</v>
      </c>
    </row>
    <row r="5" spans="1:19" s="4" customFormat="1" ht="30" x14ac:dyDescent="0.25">
      <c r="B5" s="4" t="s">
        <v>14</v>
      </c>
      <c r="D5" s="4" t="s">
        <v>15</v>
      </c>
      <c r="F5" s="4" t="s">
        <v>16</v>
      </c>
      <c r="H5" s="4" t="s">
        <v>17</v>
      </c>
      <c r="J5" s="4" t="s">
        <v>18</v>
      </c>
      <c r="L5" s="4" t="s">
        <v>19</v>
      </c>
      <c r="N5" s="4" t="s">
        <v>20</v>
      </c>
      <c r="P5" s="4" t="s">
        <v>21</v>
      </c>
      <c r="R5" s="4" t="s">
        <v>22</v>
      </c>
      <c r="S5" s="4" t="s">
        <v>57</v>
      </c>
    </row>
    <row r="6" spans="1:19" x14ac:dyDescent="0.25">
      <c r="A6" s="2" t="b">
        <v>1</v>
      </c>
      <c r="B6" s="6" t="s">
        <v>23</v>
      </c>
      <c r="C6" s="2" t="b">
        <v>0</v>
      </c>
      <c r="D6" t="s">
        <v>31</v>
      </c>
      <c r="E6" s="2" t="b">
        <v>1</v>
      </c>
      <c r="F6" s="6" t="s">
        <v>0</v>
      </c>
      <c r="G6" s="2" t="b">
        <v>0</v>
      </c>
      <c r="H6" s="7" t="s">
        <v>38</v>
      </c>
      <c r="I6" s="2" t="b">
        <v>1</v>
      </c>
      <c r="J6" s="6" t="s">
        <v>28</v>
      </c>
      <c r="K6" s="2" t="b">
        <v>1</v>
      </c>
      <c r="L6" s="6" t="s">
        <v>36</v>
      </c>
      <c r="M6" s="2" t="b">
        <v>1</v>
      </c>
      <c r="N6" s="6" t="s">
        <v>52</v>
      </c>
      <c r="O6" s="2" t="b">
        <v>1</v>
      </c>
      <c r="P6" s="6" t="s">
        <v>1</v>
      </c>
      <c r="Q6" s="2" t="b">
        <v>1</v>
      </c>
      <c r="R6" s="6" t="s">
        <v>55</v>
      </c>
      <c r="S6" s="8" t="s">
        <v>56</v>
      </c>
    </row>
    <row r="7" spans="1:19" hidden="1" x14ac:dyDescent="0.25">
      <c r="A7" s="2" t="b">
        <v>0</v>
      </c>
      <c r="C7" s="2" t="b">
        <v>0</v>
      </c>
      <c r="E7" s="2" t="b">
        <v>0</v>
      </c>
      <c r="G7" s="2" t="b">
        <v>0</v>
      </c>
      <c r="I7" s="2" t="b">
        <v>0</v>
      </c>
      <c r="K7" s="2" t="b">
        <v>0</v>
      </c>
      <c r="M7" s="2" t="b">
        <v>0</v>
      </c>
      <c r="O7" s="2" t="b">
        <v>0</v>
      </c>
      <c r="Q7" s="2" t="b">
        <v>0</v>
      </c>
    </row>
    <row r="8" spans="1:19" x14ac:dyDescent="0.25">
      <c r="A8" s="2" t="b">
        <v>0</v>
      </c>
      <c r="B8" t="s">
        <v>24</v>
      </c>
      <c r="C8" s="2" t="b">
        <v>0</v>
      </c>
      <c r="D8" t="s">
        <v>32</v>
      </c>
      <c r="E8" s="2" t="b">
        <v>0</v>
      </c>
      <c r="F8" t="s">
        <v>1</v>
      </c>
      <c r="G8" s="2" t="b">
        <v>0</v>
      </c>
      <c r="H8" t="s">
        <v>39</v>
      </c>
      <c r="I8" s="2" t="b">
        <v>0</v>
      </c>
      <c r="J8" t="s">
        <v>25</v>
      </c>
      <c r="K8" s="2" t="b">
        <v>0</v>
      </c>
      <c r="L8" t="s">
        <v>35</v>
      </c>
      <c r="M8" s="2" t="b">
        <v>0</v>
      </c>
      <c r="N8" t="s">
        <v>38</v>
      </c>
      <c r="O8" s="2" t="b">
        <v>1</v>
      </c>
      <c r="P8" s="6" t="s">
        <v>2</v>
      </c>
      <c r="Q8" s="2" t="b">
        <v>0</v>
      </c>
      <c r="R8" t="s">
        <v>44</v>
      </c>
    </row>
    <row r="9" spans="1:19" hidden="1" x14ac:dyDescent="0.25">
      <c r="A9" s="2" t="b">
        <v>0</v>
      </c>
      <c r="C9" s="2" t="b">
        <v>0</v>
      </c>
      <c r="E9" s="2" t="b">
        <v>0</v>
      </c>
      <c r="G9" s="2" t="b">
        <v>0</v>
      </c>
      <c r="I9" s="2" t="b">
        <v>0</v>
      </c>
      <c r="K9" s="2" t="b">
        <v>0</v>
      </c>
      <c r="M9" s="2" t="b">
        <v>0</v>
      </c>
      <c r="O9" s="2" t="b">
        <v>0</v>
      </c>
      <c r="Q9" s="2" t="b">
        <v>0</v>
      </c>
    </row>
    <row r="10" spans="1:19" x14ac:dyDescent="0.25">
      <c r="A10" s="2" t="b">
        <v>1</v>
      </c>
      <c r="B10" s="6" t="s">
        <v>7</v>
      </c>
      <c r="C10" s="2" t="b">
        <v>1</v>
      </c>
      <c r="D10" s="6" t="s">
        <v>33</v>
      </c>
      <c r="E10" s="2" t="b">
        <v>0</v>
      </c>
      <c r="F10" t="s">
        <v>2</v>
      </c>
      <c r="G10" s="2" t="b">
        <v>0</v>
      </c>
      <c r="H10" t="s">
        <v>40</v>
      </c>
      <c r="I10" s="2" t="b">
        <v>0</v>
      </c>
      <c r="J10" t="s">
        <v>7</v>
      </c>
      <c r="K10" s="2" t="b">
        <v>1</v>
      </c>
      <c r="L10" s="6" t="s">
        <v>48</v>
      </c>
      <c r="M10" s="2" t="b">
        <v>0</v>
      </c>
      <c r="N10" s="5" t="s">
        <v>41</v>
      </c>
      <c r="O10" s="2" t="b">
        <v>0</v>
      </c>
      <c r="P10" t="s">
        <v>3</v>
      </c>
      <c r="Q10" s="2" t="b">
        <v>1</v>
      </c>
      <c r="R10" s="6" t="s">
        <v>51</v>
      </c>
    </row>
    <row r="11" spans="1:19" hidden="1" x14ac:dyDescent="0.25">
      <c r="A11" s="2" t="b">
        <v>0</v>
      </c>
      <c r="C11" s="2" t="b">
        <v>0</v>
      </c>
      <c r="E11" s="2" t="b">
        <v>0</v>
      </c>
      <c r="G11" s="2" t="b">
        <v>0</v>
      </c>
      <c r="I11" s="2" t="b">
        <v>0</v>
      </c>
      <c r="K11" s="2" t="b">
        <v>0</v>
      </c>
      <c r="M11" s="2" t="b">
        <v>0</v>
      </c>
      <c r="O11" s="2" t="b">
        <v>0</v>
      </c>
      <c r="Q11" s="2" t="b">
        <v>0</v>
      </c>
    </row>
    <row r="12" spans="1:19" x14ac:dyDescent="0.25">
      <c r="A12" s="2" t="b">
        <v>0</v>
      </c>
      <c r="B12" t="s">
        <v>25</v>
      </c>
      <c r="C12" s="2" t="b">
        <v>0</v>
      </c>
      <c r="D12" t="s">
        <v>4</v>
      </c>
      <c r="E12" s="2" t="b">
        <v>0</v>
      </c>
      <c r="F12" t="s">
        <v>3</v>
      </c>
      <c r="G12" s="2" t="b">
        <v>1</v>
      </c>
      <c r="H12" s="6" t="s">
        <v>41</v>
      </c>
      <c r="I12" s="2" t="b">
        <v>1</v>
      </c>
      <c r="J12" s="6" t="s">
        <v>27</v>
      </c>
      <c r="K12" s="2" t="b">
        <v>0</v>
      </c>
      <c r="L12" t="s">
        <v>49</v>
      </c>
      <c r="M12" s="2" t="b">
        <v>1</v>
      </c>
      <c r="N12" s="6" t="s">
        <v>42</v>
      </c>
      <c r="O12" s="2" t="b">
        <v>0</v>
      </c>
      <c r="P12" s="5" t="s">
        <v>36</v>
      </c>
      <c r="Q12" s="2" t="b">
        <v>0</v>
      </c>
      <c r="R12" t="s">
        <v>52</v>
      </c>
    </row>
    <row r="13" spans="1:19" hidden="1" x14ac:dyDescent="0.25">
      <c r="A13" s="2" t="b">
        <v>0</v>
      </c>
      <c r="C13" s="2" t="b">
        <v>0</v>
      </c>
      <c r="E13" s="2" t="b">
        <v>0</v>
      </c>
      <c r="G13" s="2" t="b">
        <v>0</v>
      </c>
      <c r="I13" s="2" t="b">
        <v>0</v>
      </c>
      <c r="K13" s="2" t="b">
        <v>0</v>
      </c>
      <c r="M13" s="2" t="b">
        <v>0</v>
      </c>
      <c r="O13" s="2" t="b">
        <v>0</v>
      </c>
      <c r="Q13" s="2" t="b">
        <v>0</v>
      </c>
    </row>
    <row r="14" spans="1:19" x14ac:dyDescent="0.25">
      <c r="A14" s="2" t="b">
        <v>0</v>
      </c>
      <c r="B14" s="7" t="s">
        <v>26</v>
      </c>
      <c r="C14" s="2" t="b">
        <v>0</v>
      </c>
      <c r="D14" t="s">
        <v>5</v>
      </c>
      <c r="E14" s="2" t="b">
        <v>1</v>
      </c>
      <c r="F14" s="6" t="s">
        <v>10</v>
      </c>
      <c r="G14" s="2" t="b">
        <v>0</v>
      </c>
      <c r="H14" s="5" t="s">
        <v>42</v>
      </c>
      <c r="I14" s="2" t="b">
        <v>0</v>
      </c>
      <c r="J14" t="s">
        <v>29</v>
      </c>
      <c r="K14" s="2" t="b">
        <v>0</v>
      </c>
      <c r="L14" t="s">
        <v>47</v>
      </c>
      <c r="M14" s="2" t="b">
        <v>0</v>
      </c>
      <c r="N14" t="s">
        <v>51</v>
      </c>
      <c r="O14" s="2" t="b">
        <v>0</v>
      </c>
      <c r="P14" t="s">
        <v>53</v>
      </c>
      <c r="Q14" s="2" t="b">
        <v>0</v>
      </c>
      <c r="R14" t="s">
        <v>56</v>
      </c>
    </row>
    <row r="15" spans="1:19" hidden="1" x14ac:dyDescent="0.25">
      <c r="A15" s="2" t="b">
        <v>0</v>
      </c>
      <c r="C15" s="2" t="b">
        <v>0</v>
      </c>
      <c r="E15" s="2" t="b">
        <v>0</v>
      </c>
      <c r="G15" s="2" t="b">
        <v>0</v>
      </c>
      <c r="I15" s="2" t="b">
        <v>0</v>
      </c>
      <c r="K15" s="2" t="b">
        <v>0</v>
      </c>
      <c r="M15" s="2" t="b">
        <v>0</v>
      </c>
      <c r="O15" s="2" t="b">
        <v>0</v>
      </c>
      <c r="Q15" s="2" t="b">
        <v>0</v>
      </c>
    </row>
    <row r="16" spans="1:19" x14ac:dyDescent="0.25">
      <c r="A16" s="2" t="b">
        <v>0</v>
      </c>
      <c r="B16" t="s">
        <v>27</v>
      </c>
      <c r="C16" s="2" t="b">
        <v>0</v>
      </c>
      <c r="D16" t="s">
        <v>0</v>
      </c>
      <c r="E16" s="2" t="b">
        <v>0</v>
      </c>
      <c r="F16" t="s">
        <v>35</v>
      </c>
      <c r="G16" s="2" t="b">
        <v>1</v>
      </c>
      <c r="H16" s="6" t="s">
        <v>43</v>
      </c>
      <c r="I16" s="2" t="b">
        <v>0</v>
      </c>
      <c r="J16" t="s">
        <v>46</v>
      </c>
      <c r="K16" s="2" t="b">
        <v>0</v>
      </c>
      <c r="L16" t="s">
        <v>2</v>
      </c>
      <c r="M16" s="2" t="b">
        <v>1</v>
      </c>
      <c r="N16" s="6" t="s">
        <v>26</v>
      </c>
      <c r="O16" s="2" t="b">
        <v>1</v>
      </c>
      <c r="P16" s="6" t="s">
        <v>54</v>
      </c>
      <c r="Q16" s="2" t="b">
        <v>1</v>
      </c>
      <c r="R16" s="6" t="s">
        <v>24</v>
      </c>
    </row>
    <row r="17" spans="1:21" hidden="1" x14ac:dyDescent="0.25">
      <c r="A17" s="2" t="b">
        <v>0</v>
      </c>
      <c r="C17" s="2" t="b">
        <v>0</v>
      </c>
      <c r="E17" s="2" t="b">
        <v>0</v>
      </c>
      <c r="G17" s="2" t="b">
        <v>0</v>
      </c>
      <c r="I17" s="2" t="b">
        <v>0</v>
      </c>
      <c r="K17" s="2" t="b">
        <v>0</v>
      </c>
      <c r="M17" s="2" t="b">
        <v>0</v>
      </c>
      <c r="O17" s="2" t="b">
        <v>0</v>
      </c>
      <c r="Q17" s="2" t="b">
        <v>0</v>
      </c>
    </row>
    <row r="18" spans="1:21" x14ac:dyDescent="0.25">
      <c r="A18" s="2" t="b">
        <v>0</v>
      </c>
      <c r="B18" t="s">
        <v>28</v>
      </c>
      <c r="C18" s="2" t="b">
        <v>1</v>
      </c>
      <c r="D18" s="6" t="s">
        <v>6</v>
      </c>
      <c r="E18" s="2" t="b">
        <v>1</v>
      </c>
      <c r="F18" s="6" t="s">
        <v>11</v>
      </c>
      <c r="G18" s="2" t="b">
        <v>1</v>
      </c>
      <c r="H18" s="6" t="s">
        <v>56</v>
      </c>
      <c r="I18" s="2" t="b">
        <v>1</v>
      </c>
      <c r="J18" s="6" t="s">
        <v>47</v>
      </c>
      <c r="K18" s="2" t="b">
        <v>0</v>
      </c>
      <c r="L18" t="s">
        <v>1</v>
      </c>
      <c r="M18" s="2" t="b">
        <v>0</v>
      </c>
      <c r="N18" t="s">
        <v>44</v>
      </c>
      <c r="Q18" s="2" t="b">
        <v>0</v>
      </c>
      <c r="R18" t="s">
        <v>26</v>
      </c>
    </row>
    <row r="19" spans="1:21" hidden="1" x14ac:dyDescent="0.25">
      <c r="A19" s="2" t="b">
        <v>0</v>
      </c>
      <c r="C19" s="2" t="b">
        <v>0</v>
      </c>
      <c r="E19" s="2" t="b">
        <v>0</v>
      </c>
      <c r="G19" s="2" t="b">
        <v>0</v>
      </c>
      <c r="I19" s="2" t="b">
        <v>0</v>
      </c>
      <c r="K19" s="2" t="b">
        <v>0</v>
      </c>
      <c r="M19" s="2" t="b">
        <v>0</v>
      </c>
      <c r="O19" s="2" t="b">
        <v>0</v>
      </c>
      <c r="Q19" s="2" t="b">
        <v>0</v>
      </c>
    </row>
    <row r="20" spans="1:21" x14ac:dyDescent="0.25">
      <c r="A20" s="2" t="b">
        <v>0</v>
      </c>
      <c r="B20" t="s">
        <v>29</v>
      </c>
      <c r="C20" s="2" t="b">
        <v>1</v>
      </c>
      <c r="D20" s="6" t="s">
        <v>34</v>
      </c>
      <c r="E20" s="2" t="b">
        <v>0</v>
      </c>
      <c r="F20" t="s">
        <v>36</v>
      </c>
      <c r="G20" s="2" t="b">
        <v>0</v>
      </c>
      <c r="H20" t="s">
        <v>44</v>
      </c>
      <c r="I20" s="2" t="b">
        <v>0</v>
      </c>
      <c r="J20" t="s">
        <v>30</v>
      </c>
      <c r="K20" s="2" t="b">
        <v>1</v>
      </c>
      <c r="L20" s="6" t="s">
        <v>50</v>
      </c>
      <c r="M20" s="2" t="b">
        <v>0</v>
      </c>
      <c r="N20" t="s">
        <v>43</v>
      </c>
    </row>
    <row r="21" spans="1:21" hidden="1" x14ac:dyDescent="0.25">
      <c r="A21" s="2" t="b">
        <v>0</v>
      </c>
      <c r="C21" s="2" t="b">
        <v>0</v>
      </c>
      <c r="E21" s="2" t="b">
        <v>0</v>
      </c>
      <c r="G21" s="2" t="b">
        <v>0</v>
      </c>
      <c r="I21" s="2" t="b">
        <v>0</v>
      </c>
      <c r="K21" s="2" t="b">
        <v>0</v>
      </c>
      <c r="M21" s="2" t="b">
        <v>0</v>
      </c>
      <c r="O21" s="2" t="b">
        <v>0</v>
      </c>
      <c r="Q21" s="2" t="b">
        <v>0</v>
      </c>
    </row>
    <row r="22" spans="1:21" x14ac:dyDescent="0.25">
      <c r="A22" s="2" t="b">
        <v>1</v>
      </c>
      <c r="B22" s="6" t="s">
        <v>30</v>
      </c>
      <c r="E22" s="2" t="b">
        <v>0</v>
      </c>
      <c r="F22" t="s">
        <v>37</v>
      </c>
      <c r="G22" s="2" t="b">
        <v>0</v>
      </c>
      <c r="H22" t="s">
        <v>45</v>
      </c>
      <c r="I22" s="2" t="b">
        <v>0</v>
      </c>
      <c r="J22" t="s">
        <v>34</v>
      </c>
    </row>
    <row r="23" spans="1:21" hidden="1" x14ac:dyDescent="0.25">
      <c r="A23" s="2" t="b">
        <v>0</v>
      </c>
      <c r="C23" s="2" t="b">
        <v>0</v>
      </c>
      <c r="E23" s="2" t="b">
        <v>0</v>
      </c>
      <c r="G23" s="2" t="b">
        <v>0</v>
      </c>
      <c r="I23" s="2" t="b">
        <v>0</v>
      </c>
      <c r="K23" s="2" t="b">
        <v>0</v>
      </c>
      <c r="M23" s="2" t="b">
        <v>0</v>
      </c>
      <c r="O23" s="2" t="b">
        <v>0</v>
      </c>
      <c r="Q23" s="2" t="b">
        <v>0</v>
      </c>
    </row>
    <row r="26" spans="1:21" x14ac:dyDescent="0.25">
      <c r="T26" t="s">
        <v>58</v>
      </c>
      <c r="U26">
        <f>9*3*4</f>
        <v>108</v>
      </c>
    </row>
    <row r="27" spans="1:21" x14ac:dyDescent="0.25">
      <c r="B27" s="6" t="s">
        <v>7</v>
      </c>
      <c r="T27" t="s">
        <v>61</v>
      </c>
      <c r="U27">
        <f>5*3</f>
        <v>15</v>
      </c>
    </row>
    <row r="28" spans="1:21" x14ac:dyDescent="0.25">
      <c r="B28" s="6" t="s">
        <v>26</v>
      </c>
      <c r="T28" t="s">
        <v>59</v>
      </c>
      <c r="U28">
        <v>1</v>
      </c>
    </row>
    <row r="29" spans="1:21" x14ac:dyDescent="0.25">
      <c r="B29" s="6" t="s">
        <v>30</v>
      </c>
      <c r="T29" t="s">
        <v>60</v>
      </c>
      <c r="U29">
        <f>8*2</f>
        <v>16</v>
      </c>
    </row>
    <row r="30" spans="1:21" x14ac:dyDescent="0.25">
      <c r="B30" s="6" t="s">
        <v>33</v>
      </c>
    </row>
    <row r="31" spans="1:21" x14ac:dyDescent="0.25">
      <c r="B31" s="6" t="s">
        <v>6</v>
      </c>
      <c r="T31" t="s">
        <v>202</v>
      </c>
      <c r="U31">
        <f>SUM(U26:U29)</f>
        <v>140</v>
      </c>
    </row>
    <row r="32" spans="1:21" x14ac:dyDescent="0.25">
      <c r="B32" s="6" t="s">
        <v>34</v>
      </c>
    </row>
    <row r="33" spans="2:2" x14ac:dyDescent="0.25">
      <c r="B33" s="6" t="s">
        <v>0</v>
      </c>
    </row>
    <row r="34" spans="2:2" x14ac:dyDescent="0.25">
      <c r="B34" s="6" t="s">
        <v>10</v>
      </c>
    </row>
    <row r="35" spans="2:2" x14ac:dyDescent="0.25">
      <c r="B35" s="6" t="s">
        <v>11</v>
      </c>
    </row>
    <row r="36" spans="2:2" x14ac:dyDescent="0.25">
      <c r="B36" s="6" t="s">
        <v>38</v>
      </c>
    </row>
    <row r="37" spans="2:2" x14ac:dyDescent="0.25">
      <c r="B37" s="6" t="s">
        <v>41</v>
      </c>
    </row>
    <row r="38" spans="2:2" x14ac:dyDescent="0.25">
      <c r="B38" s="6" t="s">
        <v>43</v>
      </c>
    </row>
    <row r="39" spans="2:2" x14ac:dyDescent="0.25">
      <c r="B39" s="6" t="s">
        <v>28</v>
      </c>
    </row>
    <row r="40" spans="2:2" x14ac:dyDescent="0.25">
      <c r="B40" s="6" t="s">
        <v>27</v>
      </c>
    </row>
    <row r="41" spans="2:2" x14ac:dyDescent="0.25">
      <c r="B41" s="6" t="s">
        <v>47</v>
      </c>
    </row>
    <row r="42" spans="2:2" x14ac:dyDescent="0.25">
      <c r="B42" s="6" t="s">
        <v>36</v>
      </c>
    </row>
    <row r="43" spans="2:2" x14ac:dyDescent="0.25">
      <c r="B43" s="6" t="s">
        <v>48</v>
      </c>
    </row>
    <row r="44" spans="2:2" x14ac:dyDescent="0.25">
      <c r="B44" s="6" t="s">
        <v>50</v>
      </c>
    </row>
    <row r="45" spans="2:2" x14ac:dyDescent="0.25">
      <c r="B45" s="6" t="s">
        <v>52</v>
      </c>
    </row>
    <row r="46" spans="2:2" x14ac:dyDescent="0.25">
      <c r="B46" s="6" t="s">
        <v>42</v>
      </c>
    </row>
    <row r="47" spans="2:2" x14ac:dyDescent="0.25">
      <c r="B47" s="6" t="s">
        <v>26</v>
      </c>
    </row>
    <row r="48" spans="2:2" x14ac:dyDescent="0.25">
      <c r="B48" s="6" t="s">
        <v>1</v>
      </c>
    </row>
    <row r="49" spans="2:2" x14ac:dyDescent="0.25">
      <c r="B49" s="6" t="s">
        <v>2</v>
      </c>
    </row>
    <row r="50" spans="2:2" x14ac:dyDescent="0.25">
      <c r="B50" s="6" t="s">
        <v>54</v>
      </c>
    </row>
    <row r="51" spans="2:2" x14ac:dyDescent="0.25">
      <c r="B51" s="6" t="s">
        <v>55</v>
      </c>
    </row>
    <row r="52" spans="2:2" x14ac:dyDescent="0.25">
      <c r="B52" s="6" t="s">
        <v>51</v>
      </c>
    </row>
    <row r="53" spans="2:2" x14ac:dyDescent="0.25">
      <c r="B53" s="6" t="s">
        <v>24</v>
      </c>
    </row>
    <row r="54" spans="2:2" x14ac:dyDescent="0.25">
      <c r="B54" s="8" t="s">
        <v>56</v>
      </c>
    </row>
  </sheetData>
  <autoFilter ref="A5:R24" xr:uid="{EB19E554-C2FB-4F41-B6E2-ABFB311090D0}">
    <filterColumn colId="7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EC4F-0485-49F6-A8E1-2A9BBDA0A130}">
  <dimension ref="B2:F15"/>
  <sheetViews>
    <sheetView workbookViewId="0">
      <selection activeCell="D7" sqref="D7:E15"/>
    </sheetView>
  </sheetViews>
  <sheetFormatPr defaultRowHeight="15" x14ac:dyDescent="0.25"/>
  <cols>
    <col min="4" max="4" width="26.140625" customWidth="1"/>
    <col min="5" max="5" width="38.42578125" customWidth="1"/>
    <col min="6" max="6" width="20.28515625" customWidth="1"/>
  </cols>
  <sheetData>
    <row r="2" spans="2:6" x14ac:dyDescent="0.25">
      <c r="B2" t="s">
        <v>91</v>
      </c>
    </row>
    <row r="4" spans="2:6" x14ac:dyDescent="0.25">
      <c r="B4" t="s">
        <v>64</v>
      </c>
    </row>
    <row r="7" spans="2:6" x14ac:dyDescent="0.25">
      <c r="D7" s="10" t="s">
        <v>65</v>
      </c>
      <c r="E7" s="10" t="s">
        <v>68</v>
      </c>
      <c r="F7" s="10" t="s">
        <v>66</v>
      </c>
    </row>
    <row r="8" spans="2:6" x14ac:dyDescent="0.25">
      <c r="D8" s="11" t="s">
        <v>69</v>
      </c>
      <c r="E8" s="11" t="s">
        <v>70</v>
      </c>
      <c r="F8" s="11" t="s">
        <v>71</v>
      </c>
    </row>
    <row r="9" spans="2:6" x14ac:dyDescent="0.25">
      <c r="D9" s="11" t="s">
        <v>72</v>
      </c>
      <c r="E9" s="11" t="s">
        <v>73</v>
      </c>
      <c r="F9" s="11" t="s">
        <v>74</v>
      </c>
    </row>
    <row r="10" spans="2:6" x14ac:dyDescent="0.25">
      <c r="D10" s="11" t="s">
        <v>75</v>
      </c>
      <c r="E10" s="11" t="s">
        <v>76</v>
      </c>
      <c r="F10" s="11" t="s">
        <v>77</v>
      </c>
    </row>
    <row r="11" spans="2:6" ht="30" x14ac:dyDescent="0.25">
      <c r="D11" s="11" t="s">
        <v>78</v>
      </c>
      <c r="E11" s="11" t="s">
        <v>79</v>
      </c>
      <c r="F11" s="11" t="s">
        <v>80</v>
      </c>
    </row>
    <row r="12" spans="2:6" x14ac:dyDescent="0.25">
      <c r="D12" s="11" t="s">
        <v>81</v>
      </c>
      <c r="E12" s="11" t="s">
        <v>82</v>
      </c>
      <c r="F12" s="11" t="s">
        <v>83</v>
      </c>
    </row>
    <row r="13" spans="2:6" ht="30" x14ac:dyDescent="0.25">
      <c r="D13" s="11" t="s">
        <v>84</v>
      </c>
      <c r="E13" s="11" t="s">
        <v>85</v>
      </c>
      <c r="F13" s="11" t="s">
        <v>67</v>
      </c>
    </row>
    <row r="14" spans="2:6" ht="30" x14ac:dyDescent="0.25">
      <c r="D14" s="11" t="s">
        <v>86</v>
      </c>
      <c r="E14" s="11" t="s">
        <v>87</v>
      </c>
      <c r="F14" s="11" t="s">
        <v>88</v>
      </c>
    </row>
    <row r="15" spans="2:6" ht="30" x14ac:dyDescent="0.25">
      <c r="D15" s="11" t="s">
        <v>89</v>
      </c>
      <c r="E15" s="11" t="s">
        <v>90</v>
      </c>
      <c r="F15" s="1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EF16-FB96-43CE-86E9-DBD01E924900}">
  <dimension ref="B2:E34"/>
  <sheetViews>
    <sheetView tabSelected="1" topLeftCell="A16" workbookViewId="0">
      <selection activeCell="G23" sqref="G23"/>
    </sheetView>
  </sheetViews>
  <sheetFormatPr defaultRowHeight="15" x14ac:dyDescent="0.25"/>
  <cols>
    <col min="2" max="2" width="18.5703125" customWidth="1"/>
    <col min="3" max="3" width="27.28515625" customWidth="1"/>
    <col min="4" max="5" width="36.5703125" customWidth="1"/>
  </cols>
  <sheetData>
    <row r="2" spans="2:5" x14ac:dyDescent="0.25">
      <c r="B2" s="9" t="s">
        <v>201</v>
      </c>
      <c r="C2" s="9"/>
    </row>
    <row r="4" spans="2:5" x14ac:dyDescent="0.25">
      <c r="B4" t="s">
        <v>200</v>
      </c>
    </row>
    <row r="7" spans="2:5" x14ac:dyDescent="0.25">
      <c r="B7" s="1" t="s">
        <v>125</v>
      </c>
    </row>
    <row r="9" spans="2:5" ht="45" x14ac:dyDescent="0.25">
      <c r="B9" s="16" t="s">
        <v>126</v>
      </c>
      <c r="C9" s="16" t="s">
        <v>127</v>
      </c>
      <c r="D9" s="16" t="s">
        <v>128</v>
      </c>
      <c r="E9" s="15" t="s">
        <v>129</v>
      </c>
    </row>
    <row r="10" spans="2:5" ht="45" x14ac:dyDescent="0.25">
      <c r="B10" s="13" t="s">
        <v>130</v>
      </c>
      <c r="C10" s="11" t="s">
        <v>193</v>
      </c>
      <c r="D10" s="11" t="s">
        <v>131</v>
      </c>
      <c r="E10" s="15" t="s">
        <v>132</v>
      </c>
    </row>
    <row r="11" spans="2:5" ht="45" x14ac:dyDescent="0.25">
      <c r="B11" s="13" t="s">
        <v>133</v>
      </c>
      <c r="C11" s="17" t="s">
        <v>199</v>
      </c>
      <c r="D11" s="11" t="s">
        <v>135</v>
      </c>
      <c r="E11" s="15" t="s">
        <v>134</v>
      </c>
    </row>
    <row r="12" spans="2:5" ht="45" x14ac:dyDescent="0.25">
      <c r="B12" s="13" t="s">
        <v>136</v>
      </c>
      <c r="C12" s="11" t="s">
        <v>137</v>
      </c>
      <c r="D12" s="11" t="s">
        <v>138</v>
      </c>
      <c r="E12" s="15" t="s">
        <v>140</v>
      </c>
    </row>
    <row r="13" spans="2:5" ht="30" x14ac:dyDescent="0.25">
      <c r="B13" s="13" t="s">
        <v>139</v>
      </c>
      <c r="C13" s="11" t="s">
        <v>141</v>
      </c>
      <c r="D13" s="11" t="s">
        <v>143</v>
      </c>
      <c r="E13" s="15" t="s">
        <v>142</v>
      </c>
    </row>
    <row r="14" spans="2:5" ht="30" x14ac:dyDescent="0.25">
      <c r="B14" s="13" t="s">
        <v>144</v>
      </c>
      <c r="C14" s="11" t="s">
        <v>196</v>
      </c>
      <c r="D14" s="11" t="s">
        <v>146</v>
      </c>
      <c r="E14" s="15" t="s">
        <v>145</v>
      </c>
    </row>
    <row r="16" spans="2:5" ht="15.75" x14ac:dyDescent="0.25">
      <c r="B16" s="14"/>
    </row>
    <row r="17" spans="2:5" x14ac:dyDescent="0.25">
      <c r="B17" s="12" t="s">
        <v>192</v>
      </c>
    </row>
    <row r="18" spans="2:5" ht="30" x14ac:dyDescent="0.25">
      <c r="B18" s="11" t="s">
        <v>147</v>
      </c>
      <c r="C18" s="11" t="s">
        <v>194</v>
      </c>
      <c r="D18" s="11" t="s">
        <v>148</v>
      </c>
      <c r="E18" s="11" t="s">
        <v>149</v>
      </c>
    </row>
    <row r="19" spans="2:5" ht="30" x14ac:dyDescent="0.25">
      <c r="B19" s="11" t="s">
        <v>150</v>
      </c>
      <c r="C19" s="17" t="s">
        <v>151</v>
      </c>
      <c r="D19" s="11" t="s">
        <v>152</v>
      </c>
      <c r="E19" s="11" t="s">
        <v>153</v>
      </c>
    </row>
    <row r="20" spans="2:5" ht="30" x14ac:dyDescent="0.25">
      <c r="B20" s="11" t="s">
        <v>154</v>
      </c>
      <c r="C20" s="17" t="s">
        <v>155</v>
      </c>
      <c r="D20" s="11" t="s">
        <v>156</v>
      </c>
      <c r="E20" s="11" t="s">
        <v>157</v>
      </c>
    </row>
    <row r="21" spans="2:5" ht="30" x14ac:dyDescent="0.25">
      <c r="B21" s="11" t="s">
        <v>158</v>
      </c>
      <c r="C21" s="17" t="s">
        <v>159</v>
      </c>
      <c r="D21" s="11" t="s">
        <v>160</v>
      </c>
      <c r="E21" s="11" t="s">
        <v>161</v>
      </c>
    </row>
    <row r="22" spans="2:5" ht="30" x14ac:dyDescent="0.25">
      <c r="B22" s="11" t="s">
        <v>162</v>
      </c>
      <c r="C22" s="17" t="s">
        <v>163</v>
      </c>
      <c r="D22" s="11" t="s">
        <v>164</v>
      </c>
      <c r="E22" s="11" t="s">
        <v>165</v>
      </c>
    </row>
    <row r="23" spans="2:5" ht="30" x14ac:dyDescent="0.25">
      <c r="B23" s="11" t="s">
        <v>166</v>
      </c>
      <c r="C23" s="17" t="s">
        <v>198</v>
      </c>
      <c r="D23" s="11" t="s">
        <v>167</v>
      </c>
      <c r="E23" s="11" t="s">
        <v>168</v>
      </c>
    </row>
    <row r="24" spans="2:5" x14ac:dyDescent="0.25">
      <c r="C24" s="7"/>
    </row>
    <row r="25" spans="2:5" ht="15.75" x14ac:dyDescent="0.25">
      <c r="B25" s="14"/>
      <c r="C25" s="7"/>
    </row>
    <row r="26" spans="2:5" x14ac:dyDescent="0.25">
      <c r="C26" s="7"/>
    </row>
    <row r="27" spans="2:5" x14ac:dyDescent="0.25">
      <c r="B27" s="10"/>
      <c r="C27" s="18"/>
      <c r="D27" s="10"/>
    </row>
    <row r="28" spans="2:5" x14ac:dyDescent="0.25">
      <c r="B28" s="12" t="s">
        <v>191</v>
      </c>
      <c r="C28" s="17"/>
      <c r="D28" s="11"/>
    </row>
    <row r="29" spans="2:5" ht="30" x14ac:dyDescent="0.25">
      <c r="B29" s="11" t="s">
        <v>169</v>
      </c>
      <c r="C29" s="17" t="s">
        <v>197</v>
      </c>
      <c r="D29" s="11" t="s">
        <v>170</v>
      </c>
      <c r="E29" s="11" t="s">
        <v>171</v>
      </c>
    </row>
    <row r="30" spans="2:5" ht="30" x14ac:dyDescent="0.25">
      <c r="B30" s="11" t="s">
        <v>172</v>
      </c>
      <c r="C30" s="11" t="s">
        <v>173</v>
      </c>
      <c r="D30" s="11" t="s">
        <v>174</v>
      </c>
      <c r="E30" s="11" t="s">
        <v>175</v>
      </c>
    </row>
    <row r="31" spans="2:5" ht="30" x14ac:dyDescent="0.25">
      <c r="B31" s="11" t="s">
        <v>176</v>
      </c>
      <c r="C31" s="11" t="s">
        <v>177</v>
      </c>
      <c r="D31" s="11" t="s">
        <v>178</v>
      </c>
      <c r="E31" s="11" t="s">
        <v>179</v>
      </c>
    </row>
    <row r="32" spans="2:5" ht="30" x14ac:dyDescent="0.25">
      <c r="B32" s="11" t="s">
        <v>180</v>
      </c>
      <c r="C32" s="11" t="s">
        <v>181</v>
      </c>
      <c r="D32" s="11" t="s">
        <v>182</v>
      </c>
      <c r="E32" s="11" t="s">
        <v>183</v>
      </c>
    </row>
    <row r="33" spans="2:5" ht="30" x14ac:dyDescent="0.25">
      <c r="B33" s="11" t="s">
        <v>184</v>
      </c>
      <c r="C33" s="11" t="s">
        <v>185</v>
      </c>
      <c r="D33" s="11" t="s">
        <v>186</v>
      </c>
      <c r="E33" s="11" t="s">
        <v>187</v>
      </c>
    </row>
    <row r="34" spans="2:5" ht="30" x14ac:dyDescent="0.25">
      <c r="B34" s="11" t="s">
        <v>188</v>
      </c>
      <c r="C34" s="11" t="s">
        <v>195</v>
      </c>
      <c r="D34" s="11" t="s">
        <v>189</v>
      </c>
      <c r="E34" s="1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Ingredients</vt:lpstr>
      <vt:lpstr>Categories</vt:lpstr>
      <vt:lpstr>Actions</vt:lpstr>
      <vt:lpstr>Recipes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Fuentes Barron</dc:creator>
  <cp:lastModifiedBy>Pablo Fuentes Barron</cp:lastModifiedBy>
  <dcterms:created xsi:type="dcterms:W3CDTF">2025-09-24T18:50:58Z</dcterms:created>
  <dcterms:modified xsi:type="dcterms:W3CDTF">2025-10-23T23:02:17Z</dcterms:modified>
</cp:coreProperties>
</file>