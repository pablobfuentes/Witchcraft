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TPOT\"/>
    </mc:Choice>
  </mc:AlternateContent>
  <xr:revisionPtr revIDLastSave="0" documentId="13_ncr:1_{91872618-6672-4489-8302-E5A896C0B161}" xr6:coauthVersionLast="47" xr6:coauthVersionMax="47" xr10:uidLastSave="{00000000-0000-0000-0000-000000000000}"/>
  <bookViews>
    <workbookView xWindow="-120" yWindow="-120" windowWidth="29040" windowHeight="15840" activeTab="3" xr2:uid="{75E99073-CB0A-4455-80BE-71337EC2E8B0}"/>
  </bookViews>
  <sheets>
    <sheet name="Ingredients" sheetId="1" r:id="rId1"/>
    <sheet name="Categories" sheetId="2" r:id="rId2"/>
    <sheet name="Actions" sheetId="4" r:id="rId3"/>
    <sheet name="Recipes" sheetId="3" r:id="rId4"/>
  </sheets>
  <definedNames>
    <definedName name="_xlnm._FilterDatabase" localSheetId="1" hidden="1">Categories!$A$5:$R$24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" l="1"/>
  <c r="C33" i="2"/>
  <c r="C30" i="2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4" i="1" a="1"/>
  <c r="K14" i="1" s="1"/>
  <c r="K15" i="1" a="1"/>
  <c r="K15" i="1" s="1"/>
  <c r="K16" i="1" a="1"/>
  <c r="K16" i="1" s="1"/>
  <c r="K18" i="1" a="1"/>
  <c r="K18" i="1" s="1"/>
  <c r="K19" i="1" a="1"/>
  <c r="K19" i="1" s="1"/>
  <c r="K21" i="1" a="1"/>
  <c r="K21" i="1" s="1"/>
  <c r="K22" i="1" a="1"/>
  <c r="K22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31" i="1" a="1"/>
  <c r="K31" i="1" s="1"/>
  <c r="K32" i="1" a="1"/>
  <c r="K32" i="1" s="1"/>
  <c r="K33" i="1" a="1"/>
  <c r="K33" i="1" s="1"/>
  <c r="K34" i="1" a="1"/>
  <c r="K34" i="1" s="1"/>
  <c r="K37" i="1" a="1"/>
  <c r="K37" i="1" s="1"/>
  <c r="K38" i="1" a="1"/>
  <c r="K38" i="1" s="1"/>
  <c r="K39" i="1" a="1"/>
  <c r="K39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8" i="1" a="1"/>
  <c r="K48" i="1" s="1"/>
  <c r="K49" i="1" a="1"/>
  <c r="K49" i="1" s="1"/>
  <c r="K50" i="1" a="1"/>
  <c r="K50" i="1" s="1"/>
  <c r="K52" i="1" a="1"/>
  <c r="K52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4" i="1" a="1"/>
  <c r="K4" i="1" s="1"/>
  <c r="A6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<sst xmlns="http://schemas.openxmlformats.org/spreadsheetml/2006/main" count="250" uniqueCount="203">
  <si>
    <r>
      <t>Mandrake Root</t>
    </r>
    <r>
      <rPr>
        <sz val="11"/>
        <color theme="1"/>
        <rFont val="Aptos Narrow"/>
        <family val="2"/>
        <scheme val="minor"/>
      </rPr>
      <t xml:space="preserve"> – A screaming plant found in Harry Potter and folklore.</t>
    </r>
  </si>
  <si>
    <r>
      <t>Wolfsbane</t>
    </r>
    <r>
      <rPr>
        <sz val="11"/>
        <color theme="1"/>
        <rFont val="Aptos Narrow"/>
        <family val="2"/>
        <scheme val="minor"/>
      </rPr>
      <t xml:space="preserve"> – Classic werewolf lore, also used in potions.</t>
    </r>
  </si>
  <si>
    <r>
      <t>Eye of Newt</t>
    </r>
    <r>
      <rPr>
        <sz val="11"/>
        <color theme="1"/>
        <rFont val="Aptos Narrow"/>
        <family val="2"/>
        <scheme val="minor"/>
      </rPr>
      <t xml:space="preserve"> – Shakespearean witches' staple in </t>
    </r>
    <r>
      <rPr>
        <i/>
        <sz val="11"/>
        <color theme="1"/>
        <rFont val="Aptos Narrow"/>
        <family val="2"/>
        <scheme val="minor"/>
      </rPr>
      <t>Macbeth</t>
    </r>
    <r>
      <rPr>
        <sz val="11"/>
        <color theme="1"/>
        <rFont val="Aptos Narrow"/>
        <family val="2"/>
        <scheme val="minor"/>
      </rPr>
      <t>.</t>
    </r>
  </si>
  <si>
    <r>
      <t>Phoenix Feather</t>
    </r>
    <r>
      <rPr>
        <sz val="11"/>
        <color theme="1"/>
        <rFont val="Aptos Narrow"/>
        <family val="2"/>
        <scheme val="minor"/>
      </rPr>
      <t xml:space="preserve"> – Core of wands in Harry Potter.</t>
    </r>
  </si>
  <si>
    <r>
      <t>Unicorn Hair</t>
    </r>
    <r>
      <rPr>
        <sz val="11"/>
        <color theme="1"/>
        <rFont val="Aptos Narrow"/>
        <family val="2"/>
        <scheme val="minor"/>
      </rPr>
      <t xml:space="preserve"> – Often used in enchantments or potions.</t>
    </r>
  </si>
  <si>
    <r>
      <t>Fairy Dust</t>
    </r>
    <r>
      <rPr>
        <sz val="11"/>
        <color theme="1"/>
        <rFont val="Aptos Narrow"/>
        <family val="2"/>
        <scheme val="minor"/>
      </rPr>
      <t xml:space="preserve"> – Grants flight or enchantment in many stories.</t>
    </r>
  </si>
  <si>
    <r>
      <t>Basilisk Fang</t>
    </r>
    <r>
      <rPr>
        <sz val="11"/>
        <color theme="1"/>
        <rFont val="Aptos Narrow"/>
        <family val="2"/>
        <scheme val="minor"/>
      </rPr>
      <t xml:space="preserve"> – Powerful venom, used in magical weapons.</t>
    </r>
  </si>
  <si>
    <r>
      <t>Dragon Scale</t>
    </r>
    <r>
      <rPr>
        <sz val="11"/>
        <color theme="1"/>
        <rFont val="Aptos Narrow"/>
        <family val="2"/>
        <scheme val="minor"/>
      </rPr>
      <t xml:space="preserve"> – Durable, magical material in armor or potions.</t>
    </r>
  </si>
  <si>
    <r>
      <t>Graveyard Dirt</t>
    </r>
    <r>
      <rPr>
        <sz val="11"/>
        <color theme="1"/>
        <rFont val="Aptos Narrow"/>
        <family val="2"/>
        <scheme val="minor"/>
      </rPr>
      <t xml:space="preserve"> – Used in necromancy and hexing.</t>
    </r>
  </si>
  <si>
    <r>
      <t>Bloodroot</t>
    </r>
    <r>
      <rPr>
        <sz val="11"/>
        <color theme="1"/>
        <rFont val="Aptos Narrow"/>
        <family val="2"/>
        <scheme val="minor"/>
      </rPr>
      <t xml:space="preserve"> – Real plant with ominous uses; popular in folk magic.</t>
    </r>
  </si>
  <si>
    <r>
      <t>Nightshade</t>
    </r>
    <r>
      <rPr>
        <sz val="11"/>
        <color theme="1"/>
        <rFont val="Aptos Narrow"/>
        <family val="2"/>
        <scheme val="minor"/>
      </rPr>
      <t xml:space="preserve"> – Poisonous and mystical; a classic alchemical plant.</t>
    </r>
  </si>
  <si>
    <r>
      <t>Siren’s Tear</t>
    </r>
    <r>
      <rPr>
        <sz val="11"/>
        <color theme="1"/>
        <rFont val="Aptos Narrow"/>
        <family val="2"/>
        <scheme val="minor"/>
      </rPr>
      <t xml:space="preserve"> – Mythical water magic component.</t>
    </r>
  </si>
  <si>
    <r>
      <t>Bat Wing</t>
    </r>
    <r>
      <rPr>
        <sz val="11"/>
        <color theme="1"/>
        <rFont val="Aptos Narrow"/>
        <family val="2"/>
        <scheme val="minor"/>
      </rPr>
      <t xml:space="preserve"> – A potion cliché, often comedic or serious.</t>
    </r>
  </si>
  <si>
    <r>
      <t>New Moon Water</t>
    </r>
    <r>
      <rPr>
        <sz val="11"/>
        <color theme="1"/>
        <rFont val="Aptos Narrow"/>
        <family val="2"/>
        <scheme val="minor"/>
      </rPr>
      <t xml:space="preserve"> – Collected during a dark moon; used in curses.</t>
    </r>
  </si>
  <si>
    <r>
      <t>Troll Fat</t>
    </r>
    <r>
      <rPr>
        <sz val="11"/>
        <color theme="1"/>
        <rFont val="Aptos Narrow"/>
        <family val="2"/>
        <scheme val="minor"/>
      </rPr>
      <t xml:space="preserve"> – Viscous, used in resistance potions in Skyrim.</t>
    </r>
  </si>
  <si>
    <r>
      <t>Goblin Earwax</t>
    </r>
    <r>
      <rPr>
        <sz val="11"/>
        <color theme="1"/>
        <rFont val="Aptos Narrow"/>
        <family val="2"/>
        <scheme val="minor"/>
      </rPr>
      <t xml:space="preserve"> – Gross and magical in many children’s books.</t>
    </r>
  </si>
  <si>
    <r>
      <t>Vervain</t>
    </r>
    <r>
      <rPr>
        <sz val="11"/>
        <color theme="1"/>
        <rFont val="Aptos Narrow"/>
        <family val="2"/>
        <scheme val="minor"/>
      </rPr>
      <t xml:space="preserve"> – Vampire repellent in </t>
    </r>
    <r>
      <rPr>
        <i/>
        <sz val="11"/>
        <color theme="1"/>
        <rFont val="Aptos Narrow"/>
        <family val="2"/>
        <scheme val="minor"/>
      </rPr>
      <t>The Vampire Diaries</t>
    </r>
    <r>
      <rPr>
        <sz val="11"/>
        <color theme="1"/>
        <rFont val="Aptos Narrow"/>
        <family val="2"/>
        <scheme val="minor"/>
      </rPr>
      <t>.</t>
    </r>
  </si>
  <si>
    <r>
      <t>Necrotic Ash</t>
    </r>
    <r>
      <rPr>
        <sz val="11"/>
        <color theme="1"/>
        <rFont val="Aptos Narrow"/>
        <family val="2"/>
        <scheme val="minor"/>
      </rPr>
      <t xml:space="preserve"> – Burnt remains of cursed objects or beings.</t>
    </r>
  </si>
  <si>
    <r>
      <t>Moonstone Powder</t>
    </r>
    <r>
      <rPr>
        <sz val="11"/>
        <color theme="1"/>
        <rFont val="Aptos Narrow"/>
        <family val="2"/>
        <scheme val="minor"/>
      </rPr>
      <t xml:space="preserve"> – Enhancer for illusions or divination.</t>
    </r>
  </si>
  <si>
    <r>
      <t>Ginseng Root</t>
    </r>
    <r>
      <rPr>
        <sz val="11"/>
        <color theme="1"/>
        <rFont val="Aptos Narrow"/>
        <family val="2"/>
        <scheme val="minor"/>
      </rPr>
      <t xml:space="preserve"> – Real herb, often "charged" for vitality in games.</t>
    </r>
  </si>
  <si>
    <r>
      <t>Hair of a Virgin</t>
    </r>
    <r>
      <rPr>
        <sz val="11"/>
        <color theme="1"/>
        <rFont val="Aptos Narrow"/>
        <family val="2"/>
        <scheme val="minor"/>
      </rPr>
      <t xml:space="preserve"> – Classic (and problematic!) folkloric item.</t>
    </r>
  </si>
  <si>
    <r>
      <t>Spider Silk</t>
    </r>
    <r>
      <rPr>
        <sz val="11"/>
        <color theme="1"/>
        <rFont val="Aptos Narrow"/>
        <family val="2"/>
        <scheme val="minor"/>
      </rPr>
      <t xml:space="preserve"> – Used in binding spells or invisible stitching.</t>
    </r>
  </si>
  <si>
    <r>
      <t>Manticore Venom</t>
    </r>
    <r>
      <rPr>
        <sz val="11"/>
        <color theme="1"/>
        <rFont val="Aptos Narrow"/>
        <family val="2"/>
        <scheme val="minor"/>
      </rPr>
      <t xml:space="preserve"> – Deadly and extremely rare.</t>
    </r>
  </si>
  <si>
    <r>
      <t>Ghost Pepper Essence</t>
    </r>
    <r>
      <rPr>
        <sz val="11"/>
        <color theme="1"/>
        <rFont val="Aptos Narrow"/>
        <family val="2"/>
        <scheme val="minor"/>
      </rPr>
      <t xml:space="preserve"> – Spicy and spectral; great pun ingredient.</t>
    </r>
  </si>
  <si>
    <r>
      <t>Elven Dew</t>
    </r>
    <r>
      <rPr>
        <sz val="11"/>
        <color theme="1"/>
        <rFont val="Aptos Narrow"/>
        <family val="2"/>
        <scheme val="minor"/>
      </rPr>
      <t xml:space="preserve"> – Collected at dawn in sacred forests.</t>
    </r>
  </si>
  <si>
    <r>
      <t>Giant’s Toenail</t>
    </r>
    <r>
      <rPr>
        <sz val="11"/>
        <color theme="1"/>
        <rFont val="Aptos Narrow"/>
        <family val="2"/>
        <scheme val="minor"/>
      </rPr>
      <t xml:space="preserve"> – Gross and silly; perfect for humorous brews.</t>
    </r>
  </si>
  <si>
    <r>
      <t>Zombie Moss</t>
    </r>
    <r>
      <rPr>
        <sz val="11"/>
        <color theme="1"/>
        <rFont val="Aptos Narrow"/>
        <family val="2"/>
        <scheme val="minor"/>
      </rPr>
      <t xml:space="preserve"> – Grows on undead; used in decay spells.</t>
    </r>
  </si>
  <si>
    <r>
      <t>Obsidian Shard</t>
    </r>
    <r>
      <rPr>
        <sz val="11"/>
        <color theme="1"/>
        <rFont val="Aptos Narrow"/>
        <family val="2"/>
        <scheme val="minor"/>
      </rPr>
      <t xml:space="preserve"> – Used in rituals and dark magic.</t>
    </r>
  </si>
  <si>
    <r>
      <t>Shadecap Mushroom</t>
    </r>
    <r>
      <rPr>
        <sz val="11"/>
        <color theme="1"/>
        <rFont val="Aptos Narrow"/>
        <family val="2"/>
        <scheme val="minor"/>
      </rPr>
      <t xml:space="preserve"> – Grows in caves; hallucinogenic in RPGs.</t>
    </r>
  </si>
  <si>
    <r>
      <t>Mermaid Scale</t>
    </r>
    <r>
      <rPr>
        <sz val="11"/>
        <color theme="1"/>
        <rFont val="Aptos Narrow"/>
        <family val="2"/>
        <scheme val="minor"/>
      </rPr>
      <t xml:space="preserve"> – Ocean-based magical object.</t>
    </r>
  </si>
  <si>
    <r>
      <t>Ghoul Tongue</t>
    </r>
    <r>
      <rPr>
        <sz val="11"/>
        <color theme="1"/>
        <rFont val="Aptos Narrow"/>
        <family val="2"/>
        <scheme val="minor"/>
      </rPr>
      <t xml:space="preserve"> – Used in hexes and disgusting potions.</t>
    </r>
  </si>
  <si>
    <r>
      <t>Sunflower Blood</t>
    </r>
    <r>
      <rPr>
        <sz val="11"/>
        <color theme="1"/>
        <rFont val="Aptos Narrow"/>
        <family val="2"/>
        <scheme val="minor"/>
      </rPr>
      <t xml:space="preserve"> – Imaginary golden plant fluid; positive magic.</t>
    </r>
  </si>
  <si>
    <r>
      <t>Toadstool Cap</t>
    </r>
    <r>
      <rPr>
        <sz val="11"/>
        <color theme="1"/>
        <rFont val="Aptos Narrow"/>
        <family val="2"/>
        <scheme val="minor"/>
      </rPr>
      <t xml:space="preserve"> – Common magical fungus.</t>
    </r>
  </si>
  <si>
    <r>
      <t>Ashes of a Burnt Letter</t>
    </r>
    <r>
      <rPr>
        <sz val="11"/>
        <color theme="1"/>
        <rFont val="Aptos Narrow"/>
        <family val="2"/>
        <scheme val="minor"/>
      </rPr>
      <t xml:space="preserve"> – Symbolic ingredient for memory erasure.</t>
    </r>
  </si>
  <si>
    <r>
      <t>Whispering Bark</t>
    </r>
    <r>
      <rPr>
        <sz val="11"/>
        <color theme="1"/>
        <rFont val="Aptos Narrow"/>
        <family val="2"/>
        <scheme val="minor"/>
      </rPr>
      <t xml:space="preserve"> – Tree bark that murmurs secrets.</t>
    </r>
  </si>
  <si>
    <r>
      <t>Chimera Fang</t>
    </r>
    <r>
      <rPr>
        <sz val="11"/>
        <color theme="1"/>
        <rFont val="Aptos Narrow"/>
        <family val="2"/>
        <scheme val="minor"/>
      </rPr>
      <t xml:space="preserve"> – Rare drop from mythological creature.</t>
    </r>
  </si>
  <si>
    <r>
      <t>Ether Blossom</t>
    </r>
    <r>
      <rPr>
        <sz val="11"/>
        <color theme="1"/>
        <rFont val="Aptos Narrow"/>
        <family val="2"/>
        <scheme val="minor"/>
      </rPr>
      <t xml:space="preserve"> – Glows softly, used in teleportation magic.</t>
    </r>
  </si>
  <si>
    <r>
      <t>Raven Feather</t>
    </r>
    <r>
      <rPr>
        <sz val="11"/>
        <color theme="1"/>
        <rFont val="Aptos Narrow"/>
        <family val="2"/>
        <scheme val="minor"/>
      </rPr>
      <t xml:space="preserve"> – Symbol of fate, used in foresight.</t>
    </r>
  </si>
  <si>
    <r>
      <t>Dried Kraken Ink</t>
    </r>
    <r>
      <rPr>
        <sz val="11"/>
        <color theme="1"/>
        <rFont val="Aptos Narrow"/>
        <family val="2"/>
        <scheme val="minor"/>
      </rPr>
      <t xml:space="preserve"> – Magical writing or dark sea rituals.</t>
    </r>
  </si>
  <si>
    <r>
      <t>Snowdrop Petal</t>
    </r>
    <r>
      <rPr>
        <sz val="11"/>
        <color theme="1"/>
        <rFont val="Aptos Narrow"/>
        <family val="2"/>
        <scheme val="minor"/>
      </rPr>
      <t xml:space="preserve"> – Associated with purity and healing.</t>
    </r>
  </si>
  <si>
    <r>
      <t>Lightning Bug Glow</t>
    </r>
    <r>
      <rPr>
        <sz val="11"/>
        <color theme="1"/>
        <rFont val="Aptos Narrow"/>
        <family val="2"/>
        <scheme val="minor"/>
      </rPr>
      <t xml:space="preserve"> – Light source in swamp brews.</t>
    </r>
  </si>
  <si>
    <r>
      <t>Crushed Pearl</t>
    </r>
    <r>
      <rPr>
        <sz val="11"/>
        <color theme="1"/>
        <rFont val="Aptos Narrow"/>
        <family val="2"/>
        <scheme val="minor"/>
      </rPr>
      <t xml:space="preserve"> – Glamour ingredient for transformation.</t>
    </r>
  </si>
  <si>
    <r>
      <t>Blood of the Moon</t>
    </r>
    <r>
      <rPr>
        <sz val="11"/>
        <color theme="1"/>
        <rFont val="Aptos Narrow"/>
        <family val="2"/>
        <scheme val="minor"/>
      </rPr>
      <t xml:space="preserve"> – Fictional eclipse-aligned material.</t>
    </r>
  </si>
  <si>
    <r>
      <t>Shadow Oil</t>
    </r>
    <r>
      <rPr>
        <sz val="11"/>
        <color theme="1"/>
        <rFont val="Aptos Narrow"/>
        <family val="2"/>
        <scheme val="minor"/>
      </rPr>
      <t xml:space="preserve"> – Slippery and dark; used in stealth or curse spells.</t>
    </r>
  </si>
  <si>
    <r>
      <t>Salamander Tail</t>
    </r>
    <r>
      <rPr>
        <sz val="11"/>
        <color theme="1"/>
        <rFont val="Aptos Narrow"/>
        <family val="2"/>
        <scheme val="minor"/>
      </rPr>
      <t xml:space="preserve"> – From fire spirits or lizards in many tales.</t>
    </r>
  </si>
  <si>
    <r>
      <t>Memory Thread</t>
    </r>
    <r>
      <rPr>
        <sz val="11"/>
        <color theme="1"/>
        <rFont val="Aptos Narrow"/>
        <family val="2"/>
        <scheme val="minor"/>
      </rPr>
      <t xml:space="preserve"> – From a tapestry of forgotten dreams.</t>
    </r>
  </si>
  <si>
    <r>
      <t>Pumpkin Guts</t>
    </r>
    <r>
      <rPr>
        <sz val="11"/>
        <color theme="1"/>
        <rFont val="Aptos Narrow"/>
        <family val="2"/>
        <scheme val="minor"/>
      </rPr>
      <t xml:space="preserve"> – Festive, gross, and magical in harvest lore.</t>
    </r>
  </si>
  <si>
    <r>
      <t>Frost Fern</t>
    </r>
    <r>
      <rPr>
        <sz val="11"/>
        <color theme="1"/>
        <rFont val="Aptos Narrow"/>
        <family val="2"/>
        <scheme val="minor"/>
      </rPr>
      <t xml:space="preserve"> – Cold magic plant from arctic caves.</t>
    </r>
  </si>
  <si>
    <r>
      <t>Bone Dust</t>
    </r>
    <r>
      <rPr>
        <sz val="11"/>
        <color theme="1"/>
        <rFont val="Aptos Narrow"/>
        <family val="2"/>
        <scheme val="minor"/>
      </rPr>
      <t xml:space="preserve"> – Used in necromantic or ancestral rituals.</t>
    </r>
  </si>
  <si>
    <r>
      <t>Witch’s Hair</t>
    </r>
    <r>
      <rPr>
        <sz val="11"/>
        <color theme="1"/>
        <rFont val="Aptos Narrow"/>
        <family val="2"/>
        <scheme val="minor"/>
      </rPr>
      <t xml:space="preserve"> – Mysterious black strands found in windblown trees.</t>
    </r>
  </si>
  <si>
    <t>Banshee?</t>
  </si>
  <si>
    <t>White Sage</t>
  </si>
  <si>
    <t>Clear Quartz</t>
  </si>
  <si>
    <t>Amethyst</t>
  </si>
  <si>
    <t>Black Tourmaline</t>
  </si>
  <si>
    <t>Lavender</t>
  </si>
  <si>
    <t>Rosemary</t>
  </si>
  <si>
    <t>Yew Tree Branch</t>
  </si>
  <si>
    <t>Dragon Blood Resin</t>
  </si>
  <si>
    <t>Coffin Nails</t>
  </si>
  <si>
    <t>Mercury</t>
  </si>
  <si>
    <t>Solomons Seal</t>
  </si>
  <si>
    <t>Four Leaf Clover</t>
  </si>
  <si>
    <t>Honey</t>
  </si>
  <si>
    <t>Frankincense</t>
  </si>
  <si>
    <t>Sacred smoke used in purification rituals.</t>
  </si>
  <si>
    <t>known to amplify the effects of spells and other ingredients.</t>
  </si>
  <si>
    <t>Used to enhance intuition, calm turbulent thoughts, and protect the mind during astral projection.</t>
  </si>
  <si>
    <t>Carried for protection against curses, hexes, and harmful intentions.</t>
  </si>
  <si>
    <t>A sweet-scented herb used in love potions, calming elixirs, and sleep spells.</t>
  </si>
  <si>
    <t>Hung above doorways to repel dark spirits and woven into charms of fidelity.</t>
  </si>
  <si>
    <t>Sacred smoke used in purification rituals. Said to banish negative spirits and cleanse spaces of dark energies. When burned, it calls forth ancestral protection and clarity.</t>
  </si>
  <si>
    <t>The "Master Healer" crystal, known to amplify the effects of spells and other ingredients. Often placed in the center of magical circles to focus intent and boost potency.</t>
  </si>
  <si>
    <t>A royal purple stone favored by seers and dreamwalkers. Used to enhance intuition, calm turbulent thoughts, and protect the mind during astral projection.</t>
  </si>
  <si>
    <t>A warding stone of deep shadow. Carried for protection against curses, hexes, and harmful intentions. Said to "ground" volatile energy and trap malice like a magical sponge.</t>
  </si>
  <si>
    <t>A sweet-scented herb used in love potions, calming elixirs, and sleep spells. Burned in bundles or steeped in teas to bring peace, protection, and prophetic dreams.</t>
  </si>
  <si>
    <t>A kitchen herb steeped in old magic. Used to remember, to protect, and to preserve. Hung above doorways to repel dark spirits and woven into charms of fidelity.</t>
  </si>
  <si>
    <t>A sacred and ominous wood, often found in graveyards. Symbol of death and rebirth. Used in necromancy and ancestral rites; its touch is said to open paths between worlds.</t>
  </si>
  <si>
    <t>Thick, red sap from a mythical tree or beast. Used to seal pacts, empower fiery spells, and command respect from spirits. Smells of spice and danger when burned.</t>
  </si>
  <si>
    <t>Iron spikes reclaimed from old graves. Carried by witches for binding and banishment spells. In some traditions, used to “nail shut” a curse or silence a restless ghost.</t>
  </si>
  <si>
    <t>A rare find, universally known as a sign of great luck. Used in charms for good fortune, protection, and occasionally to reveal hidden paths or secret doors.</t>
  </si>
  <si>
    <t>Sacred incense that calls down divine attention. Burned during prayers and summoning rituals. Its smoke is said to lift messages skyward and cleanse the unseen.</t>
  </si>
  <si>
    <t>A sacred and ominous wood, often found in graveyards.</t>
  </si>
  <si>
    <t>Thick, red sap from a mythical tree or beast.</t>
  </si>
  <si>
    <t>Iron spikes reclaimed from old graves.</t>
  </si>
  <si>
    <t>A rare find, universally known as a sign of great luck.</t>
  </si>
  <si>
    <t>Sacred incense that calls down divine attention.</t>
  </si>
  <si>
    <t>Occult Rituals</t>
  </si>
  <si>
    <t>Sacred Herbs &amp; Botanicals</t>
  </si>
  <si>
    <t>Purification &amp; Blessing</t>
  </si>
  <si>
    <t>Mythical Beasts</t>
  </si>
  <si>
    <t>Death &amp; the Beyond</t>
  </si>
  <si>
    <t>Celestial &amp; Dream Magic</t>
  </si>
  <si>
    <t>Body &amp; Transformation</t>
  </si>
  <si>
    <t>Crystals &amp; Earthbound Magic</t>
  </si>
  <si>
    <t>Witch’s Pantry</t>
  </si>
  <si>
    <t>Eye of Newt</t>
  </si>
  <si>
    <t>Bat Wing</t>
  </si>
  <si>
    <t>Bone Dust</t>
  </si>
  <si>
    <t>Hair of a Virgin</t>
  </si>
  <si>
    <t>Ghoul Tongue</t>
  </si>
  <si>
    <t>Graveyard Dirt</t>
  </si>
  <si>
    <t>Necrotic Ash</t>
  </si>
  <si>
    <t>Ashes of a Burnt Letter</t>
  </si>
  <si>
    <t>Mandrake Root</t>
  </si>
  <si>
    <t>Wolfsbane</t>
  </si>
  <si>
    <t>Nightshade</t>
  </si>
  <si>
    <t>Whispering Bark</t>
  </si>
  <si>
    <t>Elven Dew</t>
  </si>
  <si>
    <t>Moonstone Powder</t>
  </si>
  <si>
    <t>Snowdrop Petal</t>
  </si>
  <si>
    <t>Basilisk Fang</t>
  </si>
  <si>
    <t>Dragon Scale</t>
  </si>
  <si>
    <t>Phoenix Feather</t>
  </si>
  <si>
    <t>Unicorn Hair</t>
  </si>
  <si>
    <t>Mermaid Scale</t>
  </si>
  <si>
    <t>Manticore Venom</t>
  </si>
  <si>
    <t>Goblin Earwax</t>
  </si>
  <si>
    <t>Salamander Tail</t>
  </si>
  <si>
    <t>Dried Kraken Ink</t>
  </si>
  <si>
    <t>Raven Feather</t>
  </si>
  <si>
    <t>Starflower (could be added)</t>
  </si>
  <si>
    <t>Memory Thread</t>
  </si>
  <si>
    <t>Lightning Bug Glow</t>
  </si>
  <si>
    <t>Ghost Pepper Essence</t>
  </si>
  <si>
    <t>Spider Silk</t>
  </si>
  <si>
    <t>Obsidian Shard</t>
  </si>
  <si>
    <t>Crushed Pearl</t>
  </si>
  <si>
    <t>Pumpkin Guts</t>
  </si>
  <si>
    <t>Fairy Dust</t>
  </si>
  <si>
    <t>Wild Card</t>
  </si>
  <si>
    <t>ingredientes</t>
  </si>
  <si>
    <t>Wildcard</t>
  </si>
  <si>
    <t>Action cards</t>
  </si>
  <si>
    <t>Potions Recipes</t>
  </si>
  <si>
    <t>109 cards</t>
  </si>
  <si>
    <t>Check Categories Ingredients</t>
  </si>
  <si>
    <t>15 Potions</t>
  </si>
  <si>
    <t>5 potions 3 categories</t>
  </si>
  <si>
    <t>8 actions 2 cards</t>
  </si>
  <si>
    <t>Card Name</t>
  </si>
  <si>
    <t>Type</t>
  </si>
  <si>
    <t>Chaotic Bonus</t>
  </si>
  <si>
    <t>Special Ingredient</t>
  </si>
  <si>
    <t>Effect Summary</t>
  </si>
  <si>
    <r>
      <t xml:space="preserve">🕯 </t>
    </r>
    <r>
      <rPr>
        <b/>
        <sz val="11"/>
        <color theme="1"/>
        <rFont val="Aptos Narrow"/>
        <family val="2"/>
        <scheme val="minor"/>
      </rPr>
      <t>Circle Breaker</t>
    </r>
  </si>
  <si>
    <t>Skip the next player's turn</t>
  </si>
  <si>
    <t>Target Disruption</t>
  </si>
  <si>
    <r>
      <t xml:space="preserve">🔁 </t>
    </r>
    <r>
      <rPr>
        <b/>
        <sz val="11"/>
        <color theme="1"/>
        <rFont val="Aptos Narrow"/>
        <family val="2"/>
        <scheme val="minor"/>
      </rPr>
      <t>Twist of Fate</t>
    </r>
  </si>
  <si>
    <t>Reverse direction of play</t>
  </si>
  <si>
    <t>Global Tempo</t>
  </si>
  <si>
    <r>
      <t xml:space="preserve">🐍 </t>
    </r>
    <r>
      <rPr>
        <b/>
        <sz val="11"/>
        <color theme="1"/>
        <rFont val="Aptos Narrow"/>
        <family val="2"/>
        <scheme val="minor"/>
      </rPr>
      <t>Venom Brew</t>
    </r>
  </si>
  <si>
    <t>Target player discards 1 random card</t>
  </si>
  <si>
    <t>Target Attack</t>
  </si>
  <si>
    <r>
      <t xml:space="preserve">🔮 </t>
    </r>
    <r>
      <rPr>
        <b/>
        <sz val="11"/>
        <color theme="1"/>
        <rFont val="Aptos Narrow"/>
        <family val="2"/>
        <scheme val="minor"/>
      </rPr>
      <t>Astral Projection</t>
    </r>
  </si>
  <si>
    <t>Peek top 3 cards of draw pile, keep 1, reorder rest</t>
  </si>
  <si>
    <t>Strategic Draw</t>
  </si>
  <si>
    <r>
      <t xml:space="preserve">🧃 </t>
    </r>
    <r>
      <rPr>
        <b/>
        <sz val="11"/>
        <color theme="1"/>
        <rFont val="Aptos Narrow"/>
        <family val="2"/>
        <scheme val="minor"/>
      </rPr>
      <t>Foul Elixir</t>
    </r>
  </si>
  <si>
    <t>Drawer discards 2 random cards</t>
  </si>
  <si>
    <t>Self Penalty</t>
  </si>
  <si>
    <r>
      <t xml:space="preserve">🪄 </t>
    </r>
    <r>
      <rPr>
        <b/>
        <sz val="11"/>
        <color theme="1"/>
        <rFont val="Aptos Narrow"/>
        <family val="2"/>
        <scheme val="minor"/>
      </rPr>
      <t>Crackling Cauldron</t>
    </r>
  </si>
  <si>
    <t>Draw 2 extra cards, then discard 2 (after melds)</t>
  </si>
  <si>
    <r>
      <t xml:space="preserve">✨ </t>
    </r>
    <r>
      <rPr>
        <b/>
        <sz val="11"/>
        <color theme="1"/>
        <rFont val="Aptos Narrow"/>
        <family val="2"/>
        <scheme val="minor"/>
      </rPr>
      <t>Prime Element</t>
    </r>
  </si>
  <si>
    <t>Acts as a wild card; play immediately if it completes a set</t>
  </si>
  <si>
    <r>
      <t xml:space="preserve">🕸 </t>
    </r>
    <r>
      <rPr>
        <b/>
        <sz val="11"/>
        <color theme="1"/>
        <rFont val="Aptos Narrow"/>
        <family val="2"/>
        <scheme val="minor"/>
      </rPr>
      <t>Hex Seal</t>
    </r>
  </si>
  <si>
    <t>Block a category of your choice for all players for 1 round</t>
  </si>
  <si>
    <t>Global Disruption</t>
  </si>
  <si>
    <t>💘 Love Potions</t>
  </si>
  <si>
    <t>Name</t>
  </si>
  <si>
    <t>Ingredients</t>
  </si>
  <si>
    <t>Perk Gained</t>
  </si>
  <si>
    <t>Elixir of Longing</t>
  </si>
  <si>
    <t>Siren’s Tear, Lavender, Unicorn Hair</t>
  </si>
  <si>
    <t>See one random card in any player’s hand once per round.</t>
  </si>
  <si>
    <t>Blushbloom Brew</t>
  </si>
  <si>
    <t>Spider Silk, Snowdrop Petal, Elven Dew</t>
  </si>
  <si>
    <t>You draw an extra card at the start of next round.</t>
  </si>
  <si>
    <t>Heartstring Infusion</t>
  </si>
  <si>
    <t>Hair of a Virgin, Clear Quartz, Amethyst</t>
  </si>
  <si>
    <t>Prevent one attack or negative action against you next round.</t>
  </si>
  <si>
    <t>💰 Fortune Spells</t>
  </si>
  <si>
    <t>Fate Twister</t>
  </si>
  <si>
    <t>Dragon Blood Resin, Moonstone Powder, Four Leaf Clover</t>
  </si>
  <si>
    <t>Draw two cards instead of one at the start of your first turn.</t>
  </si>
  <si>
    <t>Whispering Gold</t>
  </si>
  <si>
    <t>Basilisk Fang, Fairy Dust, Dried Kraken Ink</t>
  </si>
  <si>
    <t>Keep one extra card in hand without limit next round.</t>
  </si>
  <si>
    <t>Greedroot Tonic</t>
  </si>
  <si>
    <t>Goblin Earwax, Whispering Bark, Bone Dust</t>
  </si>
  <si>
    <t>After drawing a card, peek at the top 2 of the deck and pick one.</t>
  </si>
  <si>
    <t>☠️ Hexes</t>
  </si>
  <si>
    <t>Venom Veil</t>
  </si>
  <si>
    <t>Nightshade, Troll Fat, Manticore Venom</t>
  </si>
  <si>
    <t>Target one player: they discard a random card from hand at the start of next round.</t>
  </si>
  <si>
    <t>Spirit Lock</t>
  </si>
  <si>
    <t>Coffin Nails, Necrotic Ash, Raven Feather</t>
  </si>
  <si>
    <t>Block one player from crafting a potion on their next round.</t>
  </si>
  <si>
    <t>Ashcurse Draught</t>
  </si>
  <si>
    <t>Ashes of a Burnt Letter, Graveyard Dirt, Obsidian Shard</t>
  </si>
  <si>
    <t>Force one player to skip their draw phase once next round.</t>
  </si>
  <si>
    <t>Thiefs Gamble</t>
  </si>
  <si>
    <t>pick a card from opponents hand to keep, discard 1 of our choosing</t>
  </si>
  <si>
    <t>17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</si>
</sst>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rgb="FF111827"/>
      <name val="Arial"/>
      <family val="2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4" fillId="4" borderId="0" xfId="0" applyFont="1" applyFill="1" applyAlignment="1">
      <alignment horizontal="center" vertical="center" wrapText="1"/>
    </xf>
    <xf numFmtId="0" fontId="0" fillId="3" borderId="0" xfId="0" applyFill="1"/>
    <xf numFmtId="0" fontId="0" fillId="5" borderId="0" xfId="0" applyFill="1"/>
    <xf numFmtId="0" fontId="0" fillId="0" borderId="0" xfId="0" applyFill="1"/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5FC9-A773-46D7-B35A-91E32F63FAEB}">
  <dimension ref="A2:M75"/>
  <sheetViews>
    <sheetView zoomScaleNormal="100" workbookViewId="0">
      <selection activeCell="I18" sqref="I18"/>
    </sheetView>
  </sheetViews>
  <sheetFormatPr defaultRowHeight="15" x14ac:dyDescent="0.25"/>
  <cols>
    <col min="11" max="11" width="21.42578125" customWidth="1"/>
  </cols>
  <sheetData>
    <row r="2" spans="1:12" x14ac:dyDescent="0.25">
      <c r="B2" s="11" t="s">
        <v>136</v>
      </c>
      <c r="C2" s="11"/>
      <c r="D2" s="11"/>
    </row>
    <row r="4" spans="1:12" x14ac:dyDescent="0.25">
      <c r="A4" s="2" t="b">
        <v>1</v>
      </c>
      <c r="B4" s="1" t="s">
        <v>0</v>
      </c>
      <c r="D4" s="4"/>
      <c r="K4" t="str" cm="1">
        <f t="array" ref="K4:L4">_xlfn.TEXTSPLIT(B4,"–")</f>
        <v xml:space="preserve">Mandrake Root </v>
      </c>
      <c r="L4" t="str">
        <v xml:space="preserve"> A screaming plant found in Harry Potter and folklore.</v>
      </c>
    </row>
    <row r="5" spans="1:12" x14ac:dyDescent="0.25">
      <c r="A5" s="2" t="b">
        <v>1</v>
      </c>
      <c r="B5" s="1" t="s">
        <v>1</v>
      </c>
      <c r="K5" t="str" cm="1">
        <f t="array" ref="K5:L5">_xlfn.TEXTSPLIT(B5,"–")</f>
        <v xml:space="preserve">Wolfsbane </v>
      </c>
      <c r="L5" t="str">
        <v xml:space="preserve"> Classic werewolf lore, also used in potions.</v>
      </c>
    </row>
    <row r="6" spans="1:12" x14ac:dyDescent="0.25">
      <c r="A6" s="2" t="b">
        <v>1</v>
      </c>
      <c r="B6" s="1" t="s">
        <v>2</v>
      </c>
      <c r="K6" t="str" cm="1">
        <f t="array" ref="K6:L6">_xlfn.TEXTSPLIT(B6,"–")</f>
        <v xml:space="preserve">Eye of Newt </v>
      </c>
      <c r="L6" t="str">
        <v xml:space="preserve"> Shakespearean witches' staple in Macbeth.</v>
      </c>
    </row>
    <row r="7" spans="1:12" x14ac:dyDescent="0.25">
      <c r="A7" s="2" t="b">
        <v>1</v>
      </c>
      <c r="B7" s="1" t="s">
        <v>3</v>
      </c>
      <c r="K7" t="str" cm="1">
        <f t="array" ref="K7:L7">_xlfn.TEXTSPLIT(B7,"–")</f>
        <v xml:space="preserve">Phoenix Feather </v>
      </c>
      <c r="L7" t="str">
        <v xml:space="preserve"> Core of wands in Harry Potter.</v>
      </c>
    </row>
    <row r="8" spans="1:12" x14ac:dyDescent="0.25">
      <c r="A8" s="2" t="b">
        <v>1</v>
      </c>
      <c r="B8" s="1" t="s">
        <v>4</v>
      </c>
      <c r="K8" t="str" cm="1">
        <f t="array" ref="K8:L8">_xlfn.TEXTSPLIT(B8,"–")</f>
        <v xml:space="preserve">Unicorn Hair </v>
      </c>
      <c r="L8" t="str">
        <v xml:space="preserve"> Often used in enchantments or potions.</v>
      </c>
    </row>
    <row r="9" spans="1:12" x14ac:dyDescent="0.25">
      <c r="A9" s="2" t="b">
        <v>1</v>
      </c>
      <c r="B9" s="1" t="s">
        <v>5</v>
      </c>
      <c r="K9" t="str" cm="1">
        <f t="array" ref="K9:L9">_xlfn.TEXTSPLIT(B9,"–")</f>
        <v xml:space="preserve">Fairy Dust </v>
      </c>
      <c r="L9" t="str">
        <v xml:space="preserve"> Grants flight or enchantment in many stories.</v>
      </c>
    </row>
    <row r="10" spans="1:12" x14ac:dyDescent="0.25">
      <c r="A10" s="2" t="b">
        <v>1</v>
      </c>
      <c r="B10" s="1" t="s">
        <v>6</v>
      </c>
      <c r="K10" t="str" cm="1">
        <f t="array" ref="K10:L10">_xlfn.TEXTSPLIT(B10,"–")</f>
        <v xml:space="preserve">Basilisk Fang </v>
      </c>
      <c r="L10" t="str">
        <v xml:space="preserve"> Powerful venom, used in magical weapons.</v>
      </c>
    </row>
    <row r="11" spans="1:12" x14ac:dyDescent="0.25">
      <c r="A11" s="2" t="b">
        <v>1</v>
      </c>
      <c r="B11" s="1" t="s">
        <v>7</v>
      </c>
      <c r="K11" t="str" cm="1">
        <f t="array" ref="K11:L11">_xlfn.TEXTSPLIT(B11,"–")</f>
        <v xml:space="preserve">Dragon Scale </v>
      </c>
      <c r="L11" t="str">
        <v xml:space="preserve"> Durable, magical material in armor or potions.</v>
      </c>
    </row>
    <row r="12" spans="1:12" x14ac:dyDescent="0.25">
      <c r="A12" s="2" t="b">
        <v>1</v>
      </c>
      <c r="B12" s="1" t="s">
        <v>8</v>
      </c>
      <c r="K12" t="str" cm="1">
        <f t="array" ref="K12:L12">_xlfn.TEXTSPLIT(B12,"–")</f>
        <v xml:space="preserve">Graveyard Dirt </v>
      </c>
      <c r="L12" t="str">
        <v xml:space="preserve"> Used in necromancy and hexing.</v>
      </c>
    </row>
    <row r="13" spans="1:12" x14ac:dyDescent="0.25">
      <c r="A13" s="2" t="b">
        <v>0</v>
      </c>
      <c r="B13" s="1" t="s">
        <v>9</v>
      </c>
    </row>
    <row r="14" spans="1:12" x14ac:dyDescent="0.25">
      <c r="A14" s="2" t="b">
        <v>1</v>
      </c>
      <c r="B14" s="1" t="s">
        <v>10</v>
      </c>
      <c r="K14" t="str" cm="1">
        <f t="array" ref="K14:L14">_xlfn.TEXTSPLIT(B14,"–")</f>
        <v xml:space="preserve">Nightshade </v>
      </c>
      <c r="L14" t="str">
        <v xml:space="preserve"> Poisonous and mystical; a classic alchemical plant.</v>
      </c>
    </row>
    <row r="15" spans="1:12" x14ac:dyDescent="0.25">
      <c r="A15" s="2" t="b">
        <v>1</v>
      </c>
      <c r="B15" s="1" t="s">
        <v>11</v>
      </c>
      <c r="K15" t="str" cm="1">
        <f t="array" ref="K15:L15">_xlfn.TEXTSPLIT(B15,"–")</f>
        <v xml:space="preserve">Siren’s Tear </v>
      </c>
      <c r="L15" t="str">
        <v xml:space="preserve"> Mythical water magic component.</v>
      </c>
    </row>
    <row r="16" spans="1:12" x14ac:dyDescent="0.25">
      <c r="A16" s="2" t="b">
        <v>1</v>
      </c>
      <c r="B16" s="1" t="s">
        <v>12</v>
      </c>
      <c r="K16" t="str" cm="1">
        <f t="array" ref="K16:L16">_xlfn.TEXTSPLIT(B16,"–")</f>
        <v xml:space="preserve">Bat Wing </v>
      </c>
      <c r="L16" t="str">
        <v xml:space="preserve"> A potion cliché, often comedic or serious.</v>
      </c>
    </row>
    <row r="17" spans="1:12" x14ac:dyDescent="0.25">
      <c r="A17" s="2" t="b">
        <v>0</v>
      </c>
      <c r="B17" s="1" t="s">
        <v>13</v>
      </c>
    </row>
    <row r="18" spans="1:12" x14ac:dyDescent="0.25">
      <c r="A18" s="2" t="b">
        <v>1</v>
      </c>
      <c r="B18" s="1" t="s">
        <v>14</v>
      </c>
      <c r="K18" t="str" cm="1">
        <f t="array" ref="K18:L18">_xlfn.TEXTSPLIT(B18,"–")</f>
        <v xml:space="preserve">Troll Fat </v>
      </c>
      <c r="L18" t="str">
        <v xml:space="preserve"> Viscous, used in resistance potions in Skyrim.</v>
      </c>
    </row>
    <row r="19" spans="1:12" x14ac:dyDescent="0.25">
      <c r="A19" s="2" t="b">
        <v>1</v>
      </c>
      <c r="B19" s="1" t="s">
        <v>15</v>
      </c>
      <c r="K19" t="str" cm="1">
        <f t="array" ref="K19:L19">_xlfn.TEXTSPLIT(B19,"–")</f>
        <v xml:space="preserve">Goblin Earwax </v>
      </c>
      <c r="L19" t="str">
        <v xml:space="preserve"> Gross and magical in many children’s books.</v>
      </c>
    </row>
    <row r="20" spans="1:12" x14ac:dyDescent="0.25">
      <c r="A20" s="2" t="b">
        <v>0</v>
      </c>
      <c r="B20" s="1" t="s">
        <v>16</v>
      </c>
    </row>
    <row r="21" spans="1:12" x14ac:dyDescent="0.25">
      <c r="A21" s="2" t="b">
        <v>1</v>
      </c>
      <c r="B21" s="1" t="s">
        <v>17</v>
      </c>
      <c r="K21" t="str" cm="1">
        <f t="array" ref="K21:L21">_xlfn.TEXTSPLIT(B21,"–")</f>
        <v xml:space="preserve">Necrotic Ash </v>
      </c>
      <c r="L21" t="str">
        <v xml:space="preserve"> Burnt remains of cursed objects or beings.</v>
      </c>
    </row>
    <row r="22" spans="1:12" x14ac:dyDescent="0.25">
      <c r="A22" s="2" t="b">
        <v>1</v>
      </c>
      <c r="B22" s="1" t="s">
        <v>18</v>
      </c>
      <c r="K22" t="str" cm="1">
        <f t="array" ref="K22:L22">_xlfn.TEXTSPLIT(B22,"–")</f>
        <v xml:space="preserve">Moonstone Powder </v>
      </c>
      <c r="L22" t="str">
        <v xml:space="preserve"> Enhancer for illusions or divination.</v>
      </c>
    </row>
    <row r="23" spans="1:12" x14ac:dyDescent="0.25">
      <c r="A23" s="2" t="b">
        <v>0</v>
      </c>
      <c r="B23" s="1" t="s">
        <v>19</v>
      </c>
    </row>
    <row r="24" spans="1:12" x14ac:dyDescent="0.25">
      <c r="A24" s="2" t="b">
        <v>1</v>
      </c>
      <c r="B24" s="1" t="s">
        <v>20</v>
      </c>
      <c r="H24" t="s">
        <v>50</v>
      </c>
      <c r="K24" t="str" cm="1">
        <f t="array" ref="K24:L24">_xlfn.TEXTSPLIT(B24,"–")</f>
        <v xml:space="preserve">Hair of a Virgin </v>
      </c>
      <c r="L24" t="str">
        <v xml:space="preserve"> Classic (and problematic!) folkloric item.</v>
      </c>
    </row>
    <row r="25" spans="1:12" x14ac:dyDescent="0.25">
      <c r="A25" s="2" t="b">
        <v>1</v>
      </c>
      <c r="B25" s="1" t="s">
        <v>21</v>
      </c>
      <c r="K25" t="str" cm="1">
        <f t="array" ref="K25:L25">_xlfn.TEXTSPLIT(B25,"–")</f>
        <v xml:space="preserve">Spider Silk </v>
      </c>
      <c r="L25" t="str">
        <v xml:space="preserve"> Used in binding spells or invisible stitching.</v>
      </c>
    </row>
    <row r="26" spans="1:12" x14ac:dyDescent="0.25">
      <c r="A26" s="2" t="b">
        <v>1</v>
      </c>
      <c r="B26" s="1" t="s">
        <v>22</v>
      </c>
      <c r="K26" t="str" cm="1">
        <f t="array" ref="K26:L26">_xlfn.TEXTSPLIT(B26,"–")</f>
        <v xml:space="preserve">Manticore Venom </v>
      </c>
      <c r="L26" t="str">
        <v xml:space="preserve"> Deadly and extremely rare.</v>
      </c>
    </row>
    <row r="27" spans="1:12" x14ac:dyDescent="0.25">
      <c r="A27" s="2" t="b">
        <v>1</v>
      </c>
      <c r="B27" s="1" t="s">
        <v>23</v>
      </c>
      <c r="K27" t="str" cm="1">
        <f t="array" ref="K27:L27">_xlfn.TEXTSPLIT(B27,"–")</f>
        <v xml:space="preserve">Ghost Pepper Essence </v>
      </c>
      <c r="L27" t="str">
        <v xml:space="preserve"> Spicy and spectral; great pun ingredient.</v>
      </c>
    </row>
    <row r="28" spans="1:12" x14ac:dyDescent="0.25">
      <c r="A28" s="2" t="b">
        <v>1</v>
      </c>
      <c r="B28" s="1" t="s">
        <v>24</v>
      </c>
      <c r="K28" t="str" cm="1">
        <f t="array" ref="K28:L28">_xlfn.TEXTSPLIT(B28,"–")</f>
        <v xml:space="preserve">Elven Dew </v>
      </c>
      <c r="L28" t="str">
        <v xml:space="preserve"> Collected at dawn in sacred forests.</v>
      </c>
    </row>
    <row r="29" spans="1:12" x14ac:dyDescent="0.25">
      <c r="A29" s="2" t="b">
        <v>1</v>
      </c>
      <c r="B29" s="1" t="s">
        <v>25</v>
      </c>
    </row>
    <row r="30" spans="1:12" x14ac:dyDescent="0.25">
      <c r="A30" s="2" t="b">
        <v>0</v>
      </c>
      <c r="B30" s="1" t="s">
        <v>26</v>
      </c>
    </row>
    <row r="31" spans="1:12" x14ac:dyDescent="0.25">
      <c r="A31" s="2" t="b">
        <v>1</v>
      </c>
      <c r="B31" s="1" t="s">
        <v>27</v>
      </c>
      <c r="K31" t="str" cm="1">
        <f t="array" ref="K31:L31">_xlfn.TEXTSPLIT(B31,"–")</f>
        <v xml:space="preserve">Obsidian Shard </v>
      </c>
      <c r="L31" t="str">
        <v xml:space="preserve"> Used in rituals and dark magic.</v>
      </c>
    </row>
    <row r="32" spans="1:12" x14ac:dyDescent="0.25">
      <c r="A32" s="2" t="b">
        <v>1</v>
      </c>
      <c r="B32" s="1" t="s">
        <v>28</v>
      </c>
      <c r="K32" t="str" cm="1">
        <f t="array" ref="K32:L32">_xlfn.TEXTSPLIT(B32,"–")</f>
        <v xml:space="preserve">Shadecap Mushroom </v>
      </c>
      <c r="L32" t="str">
        <v xml:space="preserve"> Grows in caves; hallucinogenic in RPGs.</v>
      </c>
    </row>
    <row r="33" spans="1:12" x14ac:dyDescent="0.25">
      <c r="A33" s="2" t="b">
        <v>0</v>
      </c>
      <c r="B33" s="1" t="s">
        <v>29</v>
      </c>
      <c r="K33" t="str" cm="1">
        <f t="array" ref="K33:L33">_xlfn.TEXTSPLIT(B33,"–")</f>
        <v xml:space="preserve">Mermaid Scale </v>
      </c>
      <c r="L33" t="str">
        <v xml:space="preserve"> Ocean-based magical object.</v>
      </c>
    </row>
    <row r="34" spans="1:12" x14ac:dyDescent="0.25">
      <c r="A34" s="2" t="b">
        <v>1</v>
      </c>
      <c r="B34" s="1" t="s">
        <v>30</v>
      </c>
      <c r="K34" t="str" cm="1">
        <f t="array" ref="K34:L34">_xlfn.TEXTSPLIT(B34,"–")</f>
        <v xml:space="preserve">Ghoul Tongue </v>
      </c>
      <c r="L34" t="str">
        <v xml:space="preserve"> Used in hexes and disgusting potions.</v>
      </c>
    </row>
    <row r="35" spans="1:12" x14ac:dyDescent="0.25">
      <c r="A35" s="2" t="b">
        <v>0</v>
      </c>
      <c r="B35" s="1" t="s">
        <v>31</v>
      </c>
    </row>
    <row r="36" spans="1:12" x14ac:dyDescent="0.25">
      <c r="A36" s="2" t="b">
        <v>0</v>
      </c>
      <c r="B36" s="1" t="s">
        <v>32</v>
      </c>
    </row>
    <row r="37" spans="1:12" x14ac:dyDescent="0.25">
      <c r="A37" s="2" t="b">
        <v>1</v>
      </c>
      <c r="B37" s="1" t="s">
        <v>33</v>
      </c>
      <c r="K37" t="str" cm="1">
        <f t="array" ref="K37:L37">_xlfn.TEXTSPLIT(B37,"–")</f>
        <v xml:space="preserve">Ashes of a Burnt Letter </v>
      </c>
      <c r="L37" t="str">
        <v xml:space="preserve"> Symbolic ingredient for memory erasure.</v>
      </c>
    </row>
    <row r="38" spans="1:12" x14ac:dyDescent="0.25">
      <c r="A38" s="2" t="b">
        <v>1</v>
      </c>
      <c r="B38" s="1" t="s">
        <v>34</v>
      </c>
      <c r="K38" t="str" cm="1">
        <f t="array" ref="K38:L38">_xlfn.TEXTSPLIT(B38,"–")</f>
        <v xml:space="preserve">Whispering Bark </v>
      </c>
      <c r="L38" t="str">
        <v xml:space="preserve"> Tree bark that murmurs secrets.</v>
      </c>
    </row>
    <row r="39" spans="1:12" x14ac:dyDescent="0.25">
      <c r="A39" s="2" t="b">
        <v>1</v>
      </c>
      <c r="B39" s="1" t="s">
        <v>35</v>
      </c>
      <c r="K39" t="str" cm="1">
        <f t="array" ref="K39:L39">_xlfn.TEXTSPLIT(B39,"–")</f>
        <v xml:space="preserve">Chimera Fang </v>
      </c>
      <c r="L39" t="str">
        <v xml:space="preserve"> Rare drop from mythological creature.</v>
      </c>
    </row>
    <row r="40" spans="1:12" x14ac:dyDescent="0.25">
      <c r="A40" s="2" t="b">
        <v>0</v>
      </c>
      <c r="B40" s="1" t="s">
        <v>36</v>
      </c>
    </row>
    <row r="41" spans="1:12" x14ac:dyDescent="0.25">
      <c r="A41" s="2" t="b">
        <v>1</v>
      </c>
      <c r="B41" s="1" t="s">
        <v>37</v>
      </c>
      <c r="K41" t="str" cm="1">
        <f t="array" ref="K41:L41">_xlfn.TEXTSPLIT(B41,"–")</f>
        <v xml:space="preserve">Raven Feather </v>
      </c>
      <c r="L41" t="str">
        <v xml:space="preserve"> Symbol of fate, used in foresight.</v>
      </c>
    </row>
    <row r="42" spans="1:12" x14ac:dyDescent="0.25">
      <c r="A42" s="2" t="b">
        <v>1</v>
      </c>
      <c r="B42" s="1" t="s">
        <v>38</v>
      </c>
      <c r="K42" t="str" cm="1">
        <f t="array" ref="K42:L42">_xlfn.TEXTSPLIT(B42,"–")</f>
        <v xml:space="preserve">Dried Kraken Ink </v>
      </c>
      <c r="L42" t="str">
        <v xml:space="preserve"> Magical writing or dark sea rituals.</v>
      </c>
    </row>
    <row r="43" spans="1:12" x14ac:dyDescent="0.25">
      <c r="A43" s="2" t="b">
        <v>1</v>
      </c>
      <c r="B43" s="1" t="s">
        <v>39</v>
      </c>
      <c r="K43" t="str" cm="1">
        <f t="array" ref="K43:L43">_xlfn.TEXTSPLIT(B43,"–")</f>
        <v xml:space="preserve">Snowdrop Petal </v>
      </c>
      <c r="L43" t="str">
        <v xml:space="preserve"> Associated with purity and healing.</v>
      </c>
    </row>
    <row r="44" spans="1:12" x14ac:dyDescent="0.25">
      <c r="A44" s="2" t="b">
        <v>1</v>
      </c>
      <c r="B44" s="1" t="s">
        <v>40</v>
      </c>
      <c r="K44" t="str" cm="1">
        <f t="array" ref="K44:L44">_xlfn.TEXTSPLIT(B44,"–")</f>
        <v xml:space="preserve">Lightning Bug Glow </v>
      </c>
      <c r="L44" t="str">
        <v xml:space="preserve"> Light source in swamp brews.</v>
      </c>
    </row>
    <row r="45" spans="1:12" x14ac:dyDescent="0.25">
      <c r="A45" s="2" t="b">
        <v>1</v>
      </c>
      <c r="B45" s="1" t="s">
        <v>41</v>
      </c>
      <c r="K45" t="str" cm="1">
        <f t="array" ref="K45:L45">_xlfn.TEXTSPLIT(B45,"–")</f>
        <v xml:space="preserve">Crushed Pearl </v>
      </c>
      <c r="L45" t="str">
        <v xml:space="preserve"> Glamour ingredient for transformation.</v>
      </c>
    </row>
    <row r="46" spans="1:12" x14ac:dyDescent="0.25">
      <c r="A46" s="2" t="b">
        <v>0</v>
      </c>
      <c r="B46" s="1" t="s">
        <v>42</v>
      </c>
    </row>
    <row r="47" spans="1:12" x14ac:dyDescent="0.25">
      <c r="A47" s="2" t="b">
        <v>0</v>
      </c>
      <c r="B47" s="1" t="s">
        <v>43</v>
      </c>
    </row>
    <row r="48" spans="1:12" x14ac:dyDescent="0.25">
      <c r="A48" s="2" t="b">
        <v>1</v>
      </c>
      <c r="B48" s="1" t="s">
        <v>44</v>
      </c>
      <c r="K48" t="str" cm="1">
        <f t="array" ref="K48:L48">_xlfn.TEXTSPLIT(B48,"–")</f>
        <v xml:space="preserve">Salamander Tail </v>
      </c>
      <c r="L48" t="str">
        <v xml:space="preserve"> From fire spirits or lizards in many tales.</v>
      </c>
    </row>
    <row r="49" spans="1:13" x14ac:dyDescent="0.25">
      <c r="A49" s="2" t="b">
        <v>0</v>
      </c>
      <c r="B49" s="1" t="s">
        <v>45</v>
      </c>
      <c r="K49" t="str" cm="1">
        <f t="array" ref="K49:L49">_xlfn.TEXTSPLIT(B49,"–")</f>
        <v xml:space="preserve">Memory Thread </v>
      </c>
      <c r="L49" t="str">
        <v xml:space="preserve"> From a tapestry of forgotten dreams.</v>
      </c>
    </row>
    <row r="50" spans="1:13" x14ac:dyDescent="0.25">
      <c r="A50" s="2" t="b">
        <v>1</v>
      </c>
      <c r="B50" s="1" t="s">
        <v>46</v>
      </c>
      <c r="K50" t="str" cm="1">
        <f t="array" ref="K50:L50">_xlfn.TEXTSPLIT(B50,"–")</f>
        <v xml:space="preserve">Pumpkin Guts </v>
      </c>
      <c r="L50" t="str">
        <v xml:space="preserve"> Festive, gross, and magical in harvest lore.</v>
      </c>
    </row>
    <row r="51" spans="1:13" x14ac:dyDescent="0.25">
      <c r="A51" s="2" t="b">
        <v>0</v>
      </c>
      <c r="B51" s="1" t="s">
        <v>47</v>
      </c>
    </row>
    <row r="52" spans="1:13" x14ac:dyDescent="0.25">
      <c r="A52" s="2" t="b">
        <v>1</v>
      </c>
      <c r="B52" s="1" t="s">
        <v>48</v>
      </c>
      <c r="K52" t="str" cm="1">
        <f t="array" ref="K52:L52">_xlfn.TEXTSPLIT(B52,"–")</f>
        <v xml:space="preserve">Bone Dust </v>
      </c>
      <c r="L52" t="str">
        <v xml:space="preserve"> Used in necromantic or ancestral rituals.</v>
      </c>
    </row>
    <row r="53" spans="1:13" x14ac:dyDescent="0.25">
      <c r="A53" s="2" t="b">
        <v>0</v>
      </c>
      <c r="B53" s="1" t="s">
        <v>49</v>
      </c>
    </row>
    <row r="54" spans="1:13" x14ac:dyDescent="0.25">
      <c r="A54" s="2" t="b">
        <v>1</v>
      </c>
      <c r="B54" s="1" t="s">
        <v>51</v>
      </c>
      <c r="K54" s="5" t="str" cm="1">
        <f t="array" ref="K54">_xlfn.TEXTSPLIT(B54,"–")</f>
        <v>White Sage</v>
      </c>
      <c r="L54" t="s">
        <v>65</v>
      </c>
      <c r="M54" t="s">
        <v>71</v>
      </c>
    </row>
    <row r="55" spans="1:13" ht="15.75" x14ac:dyDescent="0.25">
      <c r="A55" s="2" t="b">
        <v>1</v>
      </c>
      <c r="B55" s="3" t="s">
        <v>52</v>
      </c>
      <c r="K55" s="5" t="str" cm="1">
        <f t="array" ref="K55">_xlfn.TEXTSPLIT(B55,"–")</f>
        <v>Clear Quartz</v>
      </c>
      <c r="L55" t="s">
        <v>66</v>
      </c>
      <c r="M55" t="s">
        <v>72</v>
      </c>
    </row>
    <row r="56" spans="1:13" ht="15.75" x14ac:dyDescent="0.25">
      <c r="A56" s="2" t="b">
        <v>1</v>
      </c>
      <c r="B56" s="3" t="s">
        <v>53</v>
      </c>
      <c r="K56" s="5" t="str" cm="1">
        <f t="array" ref="K56">_xlfn.TEXTSPLIT(B56,"–")</f>
        <v>Amethyst</v>
      </c>
      <c r="L56" t="s">
        <v>67</v>
      </c>
      <c r="M56" t="s">
        <v>73</v>
      </c>
    </row>
    <row r="57" spans="1:13" ht="15.75" x14ac:dyDescent="0.25">
      <c r="A57" s="2" t="b">
        <v>1</v>
      </c>
      <c r="B57" s="3" t="s">
        <v>54</v>
      </c>
      <c r="K57" s="5" t="str" cm="1">
        <f t="array" ref="K57">_xlfn.TEXTSPLIT(B57,"–")</f>
        <v>Black Tourmaline</v>
      </c>
      <c r="L57" t="s">
        <v>68</v>
      </c>
      <c r="M57" t="s">
        <v>74</v>
      </c>
    </row>
    <row r="58" spans="1:13" ht="15.75" x14ac:dyDescent="0.25">
      <c r="A58" s="2" t="b">
        <v>0</v>
      </c>
      <c r="B58" s="3" t="s">
        <v>55</v>
      </c>
      <c r="K58" s="5" t="str" cm="1">
        <f t="array" ref="K58">_xlfn.TEXTSPLIT(B58,"–")</f>
        <v>Lavender</v>
      </c>
      <c r="L58" t="s">
        <v>69</v>
      </c>
      <c r="M58" t="s">
        <v>75</v>
      </c>
    </row>
    <row r="59" spans="1:13" ht="15.75" x14ac:dyDescent="0.25">
      <c r="A59" s="2" t="b">
        <v>1</v>
      </c>
      <c r="B59" s="3" t="s">
        <v>56</v>
      </c>
      <c r="K59" s="5" t="str" cm="1">
        <f t="array" ref="K59">_xlfn.TEXTSPLIT(B59,"–")</f>
        <v>Rosemary</v>
      </c>
      <c r="L59" t="s">
        <v>70</v>
      </c>
      <c r="M59" t="s">
        <v>76</v>
      </c>
    </row>
    <row r="60" spans="1:13" ht="15.75" x14ac:dyDescent="0.25">
      <c r="A60" s="2" t="b">
        <v>1</v>
      </c>
      <c r="B60" s="3" t="s">
        <v>57</v>
      </c>
      <c r="K60" s="5" t="str" cm="1">
        <f t="array" ref="K60">_xlfn.TEXTSPLIT(B60,"–")</f>
        <v>Yew Tree Branch</v>
      </c>
      <c r="L60" t="s">
        <v>82</v>
      </c>
      <c r="M60" t="s">
        <v>77</v>
      </c>
    </row>
    <row r="61" spans="1:13" ht="15.75" x14ac:dyDescent="0.25">
      <c r="A61" s="2" t="b">
        <v>0</v>
      </c>
      <c r="B61" s="3" t="s">
        <v>58</v>
      </c>
      <c r="K61" s="5" t="str" cm="1">
        <f t="array" ref="K61">_xlfn.TEXTSPLIT(B61,"–")</f>
        <v>Dragon Blood Resin</v>
      </c>
      <c r="L61" t="s">
        <v>83</v>
      </c>
      <c r="M61" t="s">
        <v>78</v>
      </c>
    </row>
    <row r="62" spans="1:13" ht="15.75" x14ac:dyDescent="0.25">
      <c r="A62" s="2" t="b">
        <v>1</v>
      </c>
      <c r="B62" s="3" t="s">
        <v>59</v>
      </c>
      <c r="K62" s="5" t="str" cm="1">
        <f t="array" ref="K62">_xlfn.TEXTSPLIT(B62,"–")</f>
        <v>Coffin Nails</v>
      </c>
      <c r="L62" t="s">
        <v>84</v>
      </c>
      <c r="M62" t="s">
        <v>79</v>
      </c>
    </row>
    <row r="63" spans="1:13" ht="15.75" x14ac:dyDescent="0.25">
      <c r="A63" s="2" t="b">
        <v>1</v>
      </c>
      <c r="B63" s="3" t="s">
        <v>62</v>
      </c>
      <c r="K63" s="5" t="str" cm="1">
        <f t="array" ref="K63">_xlfn.TEXTSPLIT(B63,"–")</f>
        <v>Four Leaf Clover</v>
      </c>
      <c r="L63" t="s">
        <v>85</v>
      </c>
      <c r="M63" t="s">
        <v>80</v>
      </c>
    </row>
    <row r="64" spans="1:13" ht="15.75" x14ac:dyDescent="0.25">
      <c r="A64" s="2" t="b">
        <v>1</v>
      </c>
      <c r="B64" s="3" t="s">
        <v>64</v>
      </c>
      <c r="K64" s="5" t="str" cm="1">
        <f t="array" ref="K64">_xlfn.TEXTSPLIT(B64,"–")</f>
        <v>Frankincense</v>
      </c>
      <c r="L64" t="s">
        <v>86</v>
      </c>
      <c r="M64" t="s">
        <v>81</v>
      </c>
    </row>
    <row r="65" spans="1:2" x14ac:dyDescent="0.25">
      <c r="A65" s="2" t="b">
        <v>0</v>
      </c>
    </row>
    <row r="66" spans="1:2" x14ac:dyDescent="0.25">
      <c r="A66" s="2" t="b">
        <v>0</v>
      </c>
    </row>
    <row r="67" spans="1:2" x14ac:dyDescent="0.25">
      <c r="A67" s="2" t="b">
        <v>0</v>
      </c>
    </row>
    <row r="68" spans="1:2" x14ac:dyDescent="0.25">
      <c r="A68" s="2" t="b">
        <v>0</v>
      </c>
    </row>
    <row r="69" spans="1:2" x14ac:dyDescent="0.25">
      <c r="A69">
        <f>COUNTIF(A4:A68,TRUE)</f>
        <v>45</v>
      </c>
    </row>
    <row r="73" spans="1:2" x14ac:dyDescent="0.25">
      <c r="B73" t="s">
        <v>60</v>
      </c>
    </row>
    <row r="74" spans="1:2" x14ac:dyDescent="0.25">
      <c r="B74" t="s">
        <v>61</v>
      </c>
    </row>
    <row r="75" spans="1:2" x14ac:dyDescent="0.25">
      <c r="B75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E554-C2FB-4F41-B6E2-ABFB311090D0}">
  <sheetPr filterMode="1"/>
  <dimension ref="A2:S33"/>
  <sheetViews>
    <sheetView zoomScaleNormal="100" workbookViewId="0">
      <selection activeCell="C30" sqref="C30:C33"/>
    </sheetView>
  </sheetViews>
  <sheetFormatPr defaultRowHeight="15" x14ac:dyDescent="0.25"/>
  <cols>
    <col min="1" max="1" width="4.85546875" customWidth="1"/>
    <col min="2" max="2" width="20.5703125" bestFit="1" customWidth="1"/>
    <col min="3" max="3" width="6.85546875" customWidth="1"/>
    <col min="4" max="4" width="15.5703125" bestFit="1" customWidth="1"/>
    <col min="5" max="5" width="5.28515625" customWidth="1"/>
    <col min="6" max="6" width="18.140625" bestFit="1" customWidth="1"/>
    <col min="7" max="7" width="5.85546875" customWidth="1"/>
    <col min="8" max="8" width="16.5703125" bestFit="1" customWidth="1"/>
    <col min="9" max="9" width="5.140625" customWidth="1"/>
    <col min="10" max="10" width="20.5703125" bestFit="1" customWidth="1"/>
    <col min="11" max="11" width="5.85546875" customWidth="1"/>
    <col min="12" max="12" width="25.85546875" bestFit="1" customWidth="1"/>
    <col min="13" max="13" width="4.42578125" customWidth="1"/>
    <col min="14" max="14" width="20.5703125" bestFit="1" customWidth="1"/>
    <col min="15" max="15" width="4.28515625" customWidth="1"/>
    <col min="16" max="16" width="18.140625" bestFit="1" customWidth="1"/>
    <col min="17" max="17" width="4.5703125" customWidth="1"/>
    <col min="18" max="18" width="20.5703125" bestFit="1" customWidth="1"/>
  </cols>
  <sheetData>
    <row r="2" spans="1:19" x14ac:dyDescent="0.25">
      <c r="B2" t="s">
        <v>135</v>
      </c>
    </row>
    <row r="5" spans="1:19" s="6" customFormat="1" ht="30" x14ac:dyDescent="0.25">
      <c r="B5" s="6" t="s">
        <v>87</v>
      </c>
      <c r="D5" s="6" t="s">
        <v>88</v>
      </c>
      <c r="F5" s="6" t="s">
        <v>89</v>
      </c>
      <c r="H5" s="6" t="s">
        <v>90</v>
      </c>
      <c r="J5" s="6" t="s">
        <v>91</v>
      </c>
      <c r="L5" s="6" t="s">
        <v>92</v>
      </c>
      <c r="N5" s="6" t="s">
        <v>93</v>
      </c>
      <c r="P5" s="6" t="s">
        <v>94</v>
      </c>
      <c r="R5" s="6" t="s">
        <v>95</v>
      </c>
      <c r="S5" s="6" t="s">
        <v>130</v>
      </c>
    </row>
    <row r="6" spans="1:19" x14ac:dyDescent="0.25">
      <c r="A6" s="2" t="b">
        <v>0</v>
      </c>
      <c r="B6" t="s">
        <v>96</v>
      </c>
      <c r="C6" s="2" t="b">
        <v>0</v>
      </c>
      <c r="D6" t="s">
        <v>104</v>
      </c>
      <c r="E6" s="2" t="b">
        <v>1</v>
      </c>
      <c r="F6" s="8" t="s">
        <v>51</v>
      </c>
      <c r="G6" s="2" t="b">
        <v>1</v>
      </c>
      <c r="H6" s="8" t="s">
        <v>111</v>
      </c>
      <c r="I6" s="2" t="b">
        <v>1</v>
      </c>
      <c r="J6" s="8" t="s">
        <v>101</v>
      </c>
      <c r="K6" s="2" t="b">
        <v>1</v>
      </c>
      <c r="L6" s="8" t="s">
        <v>109</v>
      </c>
      <c r="M6" s="2" t="b">
        <v>1</v>
      </c>
      <c r="N6" s="8" t="s">
        <v>125</v>
      </c>
      <c r="O6" s="2" t="b">
        <v>1</v>
      </c>
      <c r="P6" s="8" t="s">
        <v>52</v>
      </c>
      <c r="Q6" s="2" t="b">
        <v>1</v>
      </c>
      <c r="R6" s="8" t="s">
        <v>128</v>
      </c>
      <c r="S6" s="10" t="s">
        <v>129</v>
      </c>
    </row>
    <row r="7" spans="1:19" hidden="1" x14ac:dyDescent="0.25">
      <c r="A7" s="2" t="b">
        <v>0</v>
      </c>
      <c r="C7" s="2" t="b">
        <v>0</v>
      </c>
      <c r="E7" s="2" t="b">
        <v>0</v>
      </c>
      <c r="G7" s="2" t="b">
        <v>0</v>
      </c>
      <c r="I7" s="2" t="b">
        <v>0</v>
      </c>
      <c r="K7" s="2" t="b">
        <v>0</v>
      </c>
      <c r="M7" s="2" t="b">
        <v>0</v>
      </c>
      <c r="O7" s="2" t="b">
        <v>0</v>
      </c>
      <c r="Q7" s="2" t="b">
        <v>0</v>
      </c>
    </row>
    <row r="8" spans="1:19" x14ac:dyDescent="0.25">
      <c r="A8" s="2" t="b">
        <v>0</v>
      </c>
      <c r="B8" t="s">
        <v>97</v>
      </c>
      <c r="C8" s="2" t="b">
        <v>0</v>
      </c>
      <c r="D8" t="s">
        <v>105</v>
      </c>
      <c r="E8" s="2" t="b">
        <v>0</v>
      </c>
      <c r="F8" t="s">
        <v>52</v>
      </c>
      <c r="G8" s="2" t="b">
        <v>0</v>
      </c>
      <c r="H8" t="s">
        <v>112</v>
      </c>
      <c r="I8" s="2" t="b">
        <v>0</v>
      </c>
      <c r="J8" t="s">
        <v>98</v>
      </c>
      <c r="K8" s="2" t="b">
        <v>0</v>
      </c>
      <c r="L8" t="s">
        <v>108</v>
      </c>
      <c r="M8" s="2" t="b">
        <v>0</v>
      </c>
      <c r="N8" t="s">
        <v>111</v>
      </c>
      <c r="O8" s="2" t="b">
        <v>1</v>
      </c>
      <c r="P8" s="8" t="s">
        <v>53</v>
      </c>
      <c r="Q8" s="2" t="b">
        <v>0</v>
      </c>
      <c r="R8" t="s">
        <v>117</v>
      </c>
    </row>
    <row r="9" spans="1:19" hidden="1" x14ac:dyDescent="0.25">
      <c r="A9" s="2" t="b">
        <v>0</v>
      </c>
      <c r="C9" s="2" t="b">
        <v>0</v>
      </c>
      <c r="E9" s="2" t="b">
        <v>0</v>
      </c>
      <c r="G9" s="2" t="b">
        <v>0</v>
      </c>
      <c r="I9" s="2" t="b">
        <v>0</v>
      </c>
      <c r="K9" s="2" t="b">
        <v>0</v>
      </c>
      <c r="M9" s="2" t="b">
        <v>0</v>
      </c>
      <c r="O9" s="2" t="b">
        <v>0</v>
      </c>
      <c r="Q9" s="2" t="b">
        <v>0</v>
      </c>
    </row>
    <row r="10" spans="1:19" x14ac:dyDescent="0.25">
      <c r="A10" s="2" t="b">
        <v>1</v>
      </c>
      <c r="B10" s="8" t="s">
        <v>59</v>
      </c>
      <c r="C10" s="2" t="b">
        <v>1</v>
      </c>
      <c r="D10" s="8" t="s">
        <v>106</v>
      </c>
      <c r="E10" s="2" t="b">
        <v>0</v>
      </c>
      <c r="F10" t="s">
        <v>53</v>
      </c>
      <c r="G10" s="2" t="b">
        <v>0</v>
      </c>
      <c r="H10" t="s">
        <v>113</v>
      </c>
      <c r="I10" s="2" t="b">
        <v>0</v>
      </c>
      <c r="J10" t="s">
        <v>59</v>
      </c>
      <c r="K10" s="2" t="b">
        <v>1</v>
      </c>
      <c r="L10" s="8" t="s">
        <v>121</v>
      </c>
      <c r="M10" s="2" t="b">
        <v>0</v>
      </c>
      <c r="N10" s="7" t="s">
        <v>114</v>
      </c>
      <c r="O10" s="2" t="b">
        <v>0</v>
      </c>
      <c r="P10" t="s">
        <v>54</v>
      </c>
      <c r="Q10" s="2" t="b">
        <v>1</v>
      </c>
      <c r="R10" s="8" t="s">
        <v>124</v>
      </c>
    </row>
    <row r="11" spans="1:19" hidden="1" x14ac:dyDescent="0.25">
      <c r="A11" s="2" t="b">
        <v>0</v>
      </c>
      <c r="C11" s="2" t="b">
        <v>0</v>
      </c>
      <c r="E11" s="2" t="b">
        <v>0</v>
      </c>
      <c r="G11" s="2" t="b">
        <v>0</v>
      </c>
      <c r="I11" s="2" t="b">
        <v>0</v>
      </c>
      <c r="K11" s="2" t="b">
        <v>0</v>
      </c>
      <c r="M11" s="2" t="b">
        <v>0</v>
      </c>
      <c r="O11" s="2" t="b">
        <v>0</v>
      </c>
      <c r="Q11" s="2" t="b">
        <v>0</v>
      </c>
    </row>
    <row r="12" spans="1:19" x14ac:dyDescent="0.25">
      <c r="A12" s="2" t="b">
        <v>0</v>
      </c>
      <c r="B12" t="s">
        <v>98</v>
      </c>
      <c r="C12" s="2" t="b">
        <v>0</v>
      </c>
      <c r="D12" t="s">
        <v>55</v>
      </c>
      <c r="E12" s="2" t="b">
        <v>0</v>
      </c>
      <c r="F12" t="s">
        <v>54</v>
      </c>
      <c r="G12" s="2" t="b">
        <v>1</v>
      </c>
      <c r="H12" s="8" t="s">
        <v>114</v>
      </c>
      <c r="I12" s="2" t="b">
        <v>1</v>
      </c>
      <c r="J12" s="8" t="s">
        <v>100</v>
      </c>
      <c r="K12" s="2" t="b">
        <v>0</v>
      </c>
      <c r="L12" t="s">
        <v>122</v>
      </c>
      <c r="M12" s="2" t="b">
        <v>1</v>
      </c>
      <c r="N12" s="8" t="s">
        <v>115</v>
      </c>
      <c r="O12" s="2" t="b">
        <v>0</v>
      </c>
      <c r="P12" s="7" t="s">
        <v>109</v>
      </c>
      <c r="Q12" s="2" t="b">
        <v>0</v>
      </c>
      <c r="R12" t="s">
        <v>125</v>
      </c>
    </row>
    <row r="13" spans="1:19" hidden="1" x14ac:dyDescent="0.25">
      <c r="A13" s="2" t="b">
        <v>0</v>
      </c>
      <c r="C13" s="2" t="b">
        <v>0</v>
      </c>
      <c r="E13" s="2" t="b">
        <v>0</v>
      </c>
      <c r="G13" s="2" t="b">
        <v>0</v>
      </c>
      <c r="I13" s="2" t="b">
        <v>0</v>
      </c>
      <c r="K13" s="2" t="b">
        <v>0</v>
      </c>
      <c r="M13" s="2" t="b">
        <v>0</v>
      </c>
      <c r="O13" s="2" t="b">
        <v>0</v>
      </c>
      <c r="Q13" s="2" t="b">
        <v>0</v>
      </c>
    </row>
    <row r="14" spans="1:19" x14ac:dyDescent="0.25">
      <c r="A14" s="2" t="b">
        <v>1</v>
      </c>
      <c r="B14" s="8" t="s">
        <v>99</v>
      </c>
      <c r="C14" s="2" t="b">
        <v>0</v>
      </c>
      <c r="D14" t="s">
        <v>56</v>
      </c>
      <c r="E14" s="2" t="b">
        <v>1</v>
      </c>
      <c r="F14" s="8" t="s">
        <v>62</v>
      </c>
      <c r="G14" s="2" t="b">
        <v>0</v>
      </c>
      <c r="H14" s="7" t="s">
        <v>115</v>
      </c>
      <c r="I14" s="2" t="b">
        <v>0</v>
      </c>
      <c r="J14" t="s">
        <v>102</v>
      </c>
      <c r="K14" s="2" t="b">
        <v>0</v>
      </c>
      <c r="L14" t="s">
        <v>120</v>
      </c>
      <c r="M14" s="2" t="b">
        <v>0</v>
      </c>
      <c r="N14" t="s">
        <v>124</v>
      </c>
      <c r="O14" s="2" t="b">
        <v>0</v>
      </c>
      <c r="P14" t="s">
        <v>126</v>
      </c>
      <c r="Q14" s="2" t="b">
        <v>0</v>
      </c>
      <c r="R14" t="s">
        <v>129</v>
      </c>
    </row>
    <row r="15" spans="1:19" hidden="1" x14ac:dyDescent="0.25">
      <c r="A15" s="2" t="b">
        <v>0</v>
      </c>
      <c r="C15" s="2" t="b">
        <v>0</v>
      </c>
      <c r="E15" s="2" t="b">
        <v>0</v>
      </c>
      <c r="G15" s="2" t="b">
        <v>0</v>
      </c>
      <c r="I15" s="2" t="b">
        <v>0</v>
      </c>
      <c r="K15" s="2" t="b">
        <v>0</v>
      </c>
      <c r="M15" s="2" t="b">
        <v>0</v>
      </c>
      <c r="O15" s="2" t="b">
        <v>0</v>
      </c>
      <c r="Q15" s="2" t="b">
        <v>0</v>
      </c>
    </row>
    <row r="16" spans="1:19" x14ac:dyDescent="0.25">
      <c r="A16" s="2" t="b">
        <v>0</v>
      </c>
      <c r="B16" t="s">
        <v>100</v>
      </c>
      <c r="C16" s="2" t="b">
        <v>0</v>
      </c>
      <c r="D16" t="s">
        <v>51</v>
      </c>
      <c r="E16" s="2" t="b">
        <v>0</v>
      </c>
      <c r="F16" t="s">
        <v>108</v>
      </c>
      <c r="G16" s="2" t="b">
        <v>1</v>
      </c>
      <c r="H16" s="8" t="s">
        <v>116</v>
      </c>
      <c r="I16" s="2" t="b">
        <v>0</v>
      </c>
      <c r="J16" t="s">
        <v>119</v>
      </c>
      <c r="K16" s="2" t="b">
        <v>0</v>
      </c>
      <c r="L16" t="s">
        <v>53</v>
      </c>
      <c r="M16" s="2" t="b">
        <v>1</v>
      </c>
      <c r="N16" s="8" t="s">
        <v>99</v>
      </c>
      <c r="O16" s="2" t="b">
        <v>1</v>
      </c>
      <c r="P16" s="8" t="s">
        <v>127</v>
      </c>
      <c r="Q16" s="2" t="b">
        <v>1</v>
      </c>
      <c r="R16" s="8" t="s">
        <v>97</v>
      </c>
    </row>
    <row r="17" spans="1:18" hidden="1" x14ac:dyDescent="0.25">
      <c r="A17" s="2" t="b">
        <v>0</v>
      </c>
      <c r="C17" s="2" t="b">
        <v>0</v>
      </c>
      <c r="E17" s="2" t="b">
        <v>0</v>
      </c>
      <c r="G17" s="2" t="b">
        <v>0</v>
      </c>
      <c r="I17" s="2" t="b">
        <v>0</v>
      </c>
      <c r="K17" s="2" t="b">
        <v>0</v>
      </c>
      <c r="M17" s="2" t="b">
        <v>0</v>
      </c>
      <c r="O17" s="2" t="b">
        <v>0</v>
      </c>
      <c r="Q17" s="2" t="b">
        <v>0</v>
      </c>
    </row>
    <row r="18" spans="1:18" x14ac:dyDescent="0.25">
      <c r="A18" s="2" t="b">
        <v>0</v>
      </c>
      <c r="B18" t="s">
        <v>101</v>
      </c>
      <c r="C18" s="2" t="b">
        <v>1</v>
      </c>
      <c r="D18" s="8" t="s">
        <v>57</v>
      </c>
      <c r="E18" s="2" t="b">
        <v>1</v>
      </c>
      <c r="F18" s="8" t="s">
        <v>64</v>
      </c>
      <c r="G18" s="2" t="b">
        <v>0</v>
      </c>
      <c r="H18" s="9" t="s">
        <v>129</v>
      </c>
      <c r="I18" s="2" t="b">
        <v>1</v>
      </c>
      <c r="J18" s="8" t="s">
        <v>120</v>
      </c>
      <c r="K18" s="2" t="b">
        <v>0</v>
      </c>
      <c r="L18" t="s">
        <v>52</v>
      </c>
      <c r="M18" s="2" t="b">
        <v>0</v>
      </c>
      <c r="N18" t="s">
        <v>117</v>
      </c>
      <c r="Q18" s="2" t="b">
        <v>0</v>
      </c>
      <c r="R18" t="s">
        <v>99</v>
      </c>
    </row>
    <row r="19" spans="1:18" hidden="1" x14ac:dyDescent="0.25">
      <c r="A19" s="2" t="b">
        <v>0</v>
      </c>
      <c r="C19" s="2" t="b">
        <v>0</v>
      </c>
      <c r="E19" s="2" t="b">
        <v>0</v>
      </c>
      <c r="G19" s="2" t="b">
        <v>0</v>
      </c>
      <c r="I19" s="2" t="b">
        <v>0</v>
      </c>
      <c r="K19" s="2" t="b">
        <v>0</v>
      </c>
      <c r="M19" s="2" t="b">
        <v>0</v>
      </c>
      <c r="O19" s="2" t="b">
        <v>0</v>
      </c>
      <c r="Q19" s="2" t="b">
        <v>0</v>
      </c>
    </row>
    <row r="20" spans="1:18" x14ac:dyDescent="0.25">
      <c r="A20" s="2" t="b">
        <v>0</v>
      </c>
      <c r="B20" t="s">
        <v>102</v>
      </c>
      <c r="C20" s="2" t="b">
        <v>1</v>
      </c>
      <c r="D20" s="8" t="s">
        <v>107</v>
      </c>
      <c r="E20" s="2" t="b">
        <v>0</v>
      </c>
      <c r="F20" t="s">
        <v>109</v>
      </c>
      <c r="G20" s="2" t="b">
        <v>0</v>
      </c>
      <c r="H20" t="s">
        <v>117</v>
      </c>
      <c r="I20" s="2" t="b">
        <v>0</v>
      </c>
      <c r="J20" t="s">
        <v>103</v>
      </c>
      <c r="K20" s="2" t="b">
        <v>1</v>
      </c>
      <c r="L20" s="8" t="s">
        <v>123</v>
      </c>
      <c r="M20" s="2" t="b">
        <v>0</v>
      </c>
      <c r="N20" t="s">
        <v>116</v>
      </c>
    </row>
    <row r="21" spans="1:18" hidden="1" x14ac:dyDescent="0.25">
      <c r="A21" s="2" t="b">
        <v>0</v>
      </c>
      <c r="C21" s="2" t="b">
        <v>0</v>
      </c>
      <c r="E21" s="2" t="b">
        <v>0</v>
      </c>
      <c r="G21" s="2" t="b">
        <v>0</v>
      </c>
      <c r="I21" s="2" t="b">
        <v>0</v>
      </c>
      <c r="K21" s="2" t="b">
        <v>0</v>
      </c>
      <c r="M21" s="2" t="b">
        <v>0</v>
      </c>
      <c r="O21" s="2" t="b">
        <v>0</v>
      </c>
      <c r="Q21" s="2" t="b">
        <v>0</v>
      </c>
    </row>
    <row r="22" spans="1:18" x14ac:dyDescent="0.25">
      <c r="A22" s="2" t="b">
        <v>1</v>
      </c>
      <c r="B22" s="8" t="s">
        <v>103</v>
      </c>
      <c r="E22" s="2" t="b">
        <v>0</v>
      </c>
      <c r="F22" t="s">
        <v>110</v>
      </c>
      <c r="G22" s="2" t="b">
        <v>0</v>
      </c>
      <c r="H22" t="s">
        <v>118</v>
      </c>
      <c r="I22" s="2" t="b">
        <v>0</v>
      </c>
      <c r="J22" t="s">
        <v>107</v>
      </c>
    </row>
    <row r="23" spans="1:18" hidden="1" x14ac:dyDescent="0.25">
      <c r="A23" s="2" t="b">
        <v>0</v>
      </c>
      <c r="C23" s="2" t="b">
        <v>0</v>
      </c>
      <c r="E23" s="2" t="b">
        <v>0</v>
      </c>
      <c r="G23" s="2" t="b">
        <v>0</v>
      </c>
      <c r="I23" s="2" t="b">
        <v>0</v>
      </c>
      <c r="K23" s="2" t="b">
        <v>0</v>
      </c>
      <c r="M23" s="2" t="b">
        <v>0</v>
      </c>
      <c r="O23" s="2" t="b">
        <v>0</v>
      </c>
      <c r="Q23" s="2" t="b">
        <v>0</v>
      </c>
    </row>
    <row r="30" spans="1:18" x14ac:dyDescent="0.25">
      <c r="B30" t="s">
        <v>131</v>
      </c>
      <c r="C30">
        <f>9*3*4</f>
        <v>108</v>
      </c>
    </row>
    <row r="31" spans="1:18" x14ac:dyDescent="0.25">
      <c r="B31" t="s">
        <v>134</v>
      </c>
      <c r="C31">
        <f>3*5</f>
        <v>15</v>
      </c>
    </row>
    <row r="32" spans="1:18" x14ac:dyDescent="0.25">
      <c r="B32" t="s">
        <v>132</v>
      </c>
      <c r="C32">
        <v>1</v>
      </c>
    </row>
    <row r="33" spans="2:3" x14ac:dyDescent="0.25">
      <c r="B33" t="s">
        <v>133</v>
      </c>
      <c r="C33">
        <f>8*2</f>
        <v>16</v>
      </c>
    </row>
  </sheetData>
  <autoFilter ref="A5:R24" xr:uid="{EB19E554-C2FB-4F41-B6E2-ABFB311090D0}">
    <filterColumn colId="7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EC4F-0485-49F6-A8E1-2A9BBDA0A130}">
  <dimension ref="B2:F16"/>
  <sheetViews>
    <sheetView workbookViewId="0">
      <selection activeCell="B5" sqref="B5"/>
    </sheetView>
  </sheetViews>
  <sheetFormatPr defaultRowHeight="15" x14ac:dyDescent="0.25"/>
  <cols>
    <col min="4" max="4" width="26.140625" customWidth="1"/>
    <col min="5" max="5" width="38.42578125" customWidth="1"/>
    <col min="6" max="6" width="20.28515625" customWidth="1"/>
  </cols>
  <sheetData>
    <row r="2" spans="2:6" x14ac:dyDescent="0.25">
      <c r="B2" t="s">
        <v>202</v>
      </c>
    </row>
    <row r="4" spans="2:6" x14ac:dyDescent="0.25">
      <c r="B4" t="s">
        <v>139</v>
      </c>
    </row>
    <row r="7" spans="2:6" x14ac:dyDescent="0.25">
      <c r="D7" s="12" t="s">
        <v>140</v>
      </c>
      <c r="E7" s="12" t="s">
        <v>144</v>
      </c>
      <c r="F7" s="12" t="s">
        <v>141</v>
      </c>
    </row>
    <row r="8" spans="2:6" x14ac:dyDescent="0.25">
      <c r="D8" s="13" t="s">
        <v>145</v>
      </c>
      <c r="E8" s="13" t="s">
        <v>146</v>
      </c>
      <c r="F8" s="13" t="s">
        <v>147</v>
      </c>
    </row>
    <row r="9" spans="2:6" x14ac:dyDescent="0.25">
      <c r="D9" s="13" t="s">
        <v>148</v>
      </c>
      <c r="E9" s="13" t="s">
        <v>149</v>
      </c>
      <c r="F9" s="13" t="s">
        <v>150</v>
      </c>
    </row>
    <row r="10" spans="2:6" x14ac:dyDescent="0.25">
      <c r="D10" s="13" t="s">
        <v>151</v>
      </c>
      <c r="E10" s="13" t="s">
        <v>152</v>
      </c>
      <c r="F10" s="13" t="s">
        <v>153</v>
      </c>
    </row>
    <row r="11" spans="2:6" ht="30" x14ac:dyDescent="0.25">
      <c r="D11" s="13" t="s">
        <v>154</v>
      </c>
      <c r="E11" s="13" t="s">
        <v>155</v>
      </c>
      <c r="F11" s="13" t="s">
        <v>156</v>
      </c>
    </row>
    <row r="12" spans="2:6" x14ac:dyDescent="0.25">
      <c r="D12" s="13" t="s">
        <v>157</v>
      </c>
      <c r="E12" s="13" t="s">
        <v>158</v>
      </c>
      <c r="F12" s="13" t="s">
        <v>159</v>
      </c>
    </row>
    <row r="13" spans="2:6" ht="30" x14ac:dyDescent="0.25">
      <c r="D13" s="13" t="s">
        <v>160</v>
      </c>
      <c r="E13" s="13" t="s">
        <v>161</v>
      </c>
      <c r="F13" s="13" t="s">
        <v>142</v>
      </c>
    </row>
    <row r="14" spans="2:6" ht="30" x14ac:dyDescent="0.25">
      <c r="D14" s="13" t="s">
        <v>162</v>
      </c>
      <c r="E14" s="13" t="s">
        <v>163</v>
      </c>
      <c r="F14" s="13" t="s">
        <v>143</v>
      </c>
    </row>
    <row r="15" spans="2:6" ht="30" x14ac:dyDescent="0.25">
      <c r="D15" s="13" t="s">
        <v>164</v>
      </c>
      <c r="E15" s="13" t="s">
        <v>165</v>
      </c>
      <c r="F15" s="13" t="s">
        <v>166</v>
      </c>
    </row>
    <row r="16" spans="2:6" ht="30" x14ac:dyDescent="0.25">
      <c r="D16" s="13" t="s">
        <v>200</v>
      </c>
      <c r="E16" s="13" t="s">
        <v>201</v>
      </c>
      <c r="F16" s="13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EF16-FB96-43CE-86E9-DBD01E924900}">
  <dimension ref="B2:D30"/>
  <sheetViews>
    <sheetView tabSelected="1" topLeftCell="A11" workbookViewId="0">
      <selection activeCell="F21" sqref="F21"/>
    </sheetView>
  </sheetViews>
  <sheetFormatPr defaultRowHeight="15" x14ac:dyDescent="0.25"/>
  <cols>
    <col min="2" max="2" width="18.5703125" customWidth="1"/>
    <col min="3" max="3" width="27.28515625" customWidth="1"/>
    <col min="4" max="4" width="36.5703125" customWidth="1"/>
  </cols>
  <sheetData>
    <row r="2" spans="2:4" x14ac:dyDescent="0.25">
      <c r="B2" s="11" t="s">
        <v>137</v>
      </c>
      <c r="C2" s="11"/>
    </row>
    <row r="4" spans="2:4" x14ac:dyDescent="0.25">
      <c r="B4" t="s">
        <v>138</v>
      </c>
    </row>
    <row r="7" spans="2:4" ht="15.75" x14ac:dyDescent="0.25">
      <c r="B7" s="15" t="s">
        <v>167</v>
      </c>
    </row>
    <row r="9" spans="2:4" x14ac:dyDescent="0.25">
      <c r="B9" s="12" t="s">
        <v>168</v>
      </c>
      <c r="C9" s="12" t="s">
        <v>169</v>
      </c>
      <c r="D9" s="12" t="s">
        <v>170</v>
      </c>
    </row>
    <row r="10" spans="2:4" ht="30" x14ac:dyDescent="0.25">
      <c r="B10" s="14" t="s">
        <v>171</v>
      </c>
      <c r="C10" s="13" t="s">
        <v>172</v>
      </c>
      <c r="D10" s="13" t="s">
        <v>173</v>
      </c>
    </row>
    <row r="11" spans="2:4" ht="30" x14ac:dyDescent="0.25">
      <c r="B11" s="14" t="s">
        <v>174</v>
      </c>
      <c r="C11" s="13" t="s">
        <v>175</v>
      </c>
      <c r="D11" s="13" t="s">
        <v>176</v>
      </c>
    </row>
    <row r="12" spans="2:4" ht="30" x14ac:dyDescent="0.25">
      <c r="B12" s="14" t="s">
        <v>177</v>
      </c>
      <c r="C12" s="13" t="s">
        <v>178</v>
      </c>
      <c r="D12" s="13" t="s">
        <v>179</v>
      </c>
    </row>
    <row r="13" spans="2:4" x14ac:dyDescent="0.25">
      <c r="B13" s="14"/>
      <c r="C13" s="13"/>
      <c r="D13" s="13"/>
    </row>
    <row r="14" spans="2:4" x14ac:dyDescent="0.25">
      <c r="B14" s="14"/>
      <c r="C14" s="13"/>
      <c r="D14" s="13"/>
    </row>
    <row r="16" spans="2:4" ht="15.75" x14ac:dyDescent="0.25">
      <c r="B16" s="15" t="s">
        <v>180</v>
      </c>
    </row>
    <row r="18" spans="2:4" x14ac:dyDescent="0.25">
      <c r="B18" s="12" t="s">
        <v>168</v>
      </c>
      <c r="C18" s="12" t="s">
        <v>169</v>
      </c>
      <c r="D18" s="12" t="s">
        <v>170</v>
      </c>
    </row>
    <row r="19" spans="2:4" ht="45" x14ac:dyDescent="0.25">
      <c r="B19" s="14" t="s">
        <v>181</v>
      </c>
      <c r="C19" s="13" t="s">
        <v>182</v>
      </c>
      <c r="D19" s="13" t="s">
        <v>183</v>
      </c>
    </row>
    <row r="20" spans="2:4" ht="30" x14ac:dyDescent="0.25">
      <c r="B20" s="14" t="s">
        <v>184</v>
      </c>
      <c r="C20" s="13" t="s">
        <v>185</v>
      </c>
      <c r="D20" s="13" t="s">
        <v>186</v>
      </c>
    </row>
    <row r="21" spans="2:4" ht="30" x14ac:dyDescent="0.25">
      <c r="B21" s="14" t="s">
        <v>187</v>
      </c>
      <c r="C21" s="13" t="s">
        <v>188</v>
      </c>
      <c r="D21" s="13" t="s">
        <v>189</v>
      </c>
    </row>
    <row r="22" spans="2:4" x14ac:dyDescent="0.25">
      <c r="B22" s="14"/>
      <c r="C22" s="13"/>
      <c r="D22" s="13"/>
    </row>
    <row r="23" spans="2:4" x14ac:dyDescent="0.25">
      <c r="B23" s="14"/>
      <c r="C23" s="13"/>
      <c r="D23" s="13"/>
    </row>
    <row r="25" spans="2:4" ht="15.75" x14ac:dyDescent="0.25">
      <c r="B25" s="15" t="s">
        <v>190</v>
      </c>
    </row>
    <row r="27" spans="2:4" x14ac:dyDescent="0.25">
      <c r="B27" s="12" t="s">
        <v>168</v>
      </c>
      <c r="C27" s="12" t="s">
        <v>169</v>
      </c>
      <c r="D27" s="12" t="s">
        <v>170</v>
      </c>
    </row>
    <row r="28" spans="2:4" ht="45" x14ac:dyDescent="0.25">
      <c r="B28" s="14" t="s">
        <v>191</v>
      </c>
      <c r="C28" s="13" t="s">
        <v>192</v>
      </c>
      <c r="D28" s="13" t="s">
        <v>193</v>
      </c>
    </row>
    <row r="29" spans="2:4" ht="30" x14ac:dyDescent="0.25">
      <c r="B29" s="14" t="s">
        <v>194</v>
      </c>
      <c r="C29" s="13" t="s">
        <v>195</v>
      </c>
      <c r="D29" s="13" t="s">
        <v>196</v>
      </c>
    </row>
    <row r="30" spans="2:4" ht="45" x14ac:dyDescent="0.25">
      <c r="B30" s="14" t="s">
        <v>197</v>
      </c>
      <c r="C30" s="13" t="s">
        <v>198</v>
      </c>
      <c r="D30" s="1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Ingredients</vt:lpstr>
      <vt:lpstr>Categories</vt:lpstr>
      <vt:lpstr>Actions</vt:lpstr>
      <vt:lpstr>Recipes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Fuentes Barron</dc:creator>
  <cp:lastModifiedBy>Pablo Fuentes Barron</cp:lastModifiedBy>
  <dcterms:created xsi:type="dcterms:W3CDTF">2025-09-24T18:50:58Z</dcterms:created>
  <dcterms:modified xsi:type="dcterms:W3CDTF">2025-10-23T01:41:27Z</dcterms:modified>
</cp:coreProperties>
</file>